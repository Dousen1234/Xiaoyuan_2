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20" tabRatio="455"/>
  </bookViews>
  <sheets>
    <sheet name="canbus" sheetId="4" r:id="rId1"/>
    <sheet name="单位换算" sheetId="5" r:id="rId2"/>
    <sheet name="人型机器人" sheetId="6" r:id="rId3"/>
    <sheet name="电流计算" sheetId="7" r:id="rId4"/>
    <sheet name="角度换算" sheetId="8" r:id="rId5"/>
    <sheet name="S曲线计算器" sheetId="9" r:id="rId6"/>
  </sheets>
  <definedNames>
    <definedName name="_xlnm._FilterDatabase" localSheetId="0" hidden="1">canbus!$C$2:$H$126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<sst xmlns="http://schemas.openxmlformats.org/spreadsheetml/2006/main" count="733" uniqueCount="296">
  <si>
    <t>CANID默认1，波特率默认1M</t>
  </si>
  <si>
    <t>返回</t>
  </si>
  <si>
    <t>单位换算</t>
  </si>
  <si>
    <t>长度</t>
  </si>
  <si>
    <t>DEC</t>
  </si>
  <si>
    <t>HEX</t>
  </si>
  <si>
    <t>功能码</t>
  </si>
  <si>
    <t>返回长度</t>
  </si>
  <si>
    <t>数据类型</t>
  </si>
  <si>
    <t>单位</t>
  </si>
  <si>
    <t>参数说明</t>
  </si>
  <si>
    <t>1字节</t>
  </si>
  <si>
    <t>停止电机</t>
  </si>
  <si>
    <t>-</t>
  </si>
  <si>
    <t>立刻停止电机并抱死刹车</t>
  </si>
  <si>
    <t>获取运行模式</t>
  </si>
  <si>
    <t>5字节</t>
  </si>
  <si>
    <t>Int32</t>
  </si>
  <si>
    <t>获取当前电流</t>
  </si>
  <si>
    <t>mA</t>
  </si>
  <si>
    <t>获取目标电流</t>
  </si>
  <si>
    <t>仅处在电流模式下有效</t>
  </si>
  <si>
    <t>获取当前速度</t>
  </si>
  <si>
    <t>0.01Hz</t>
  </si>
  <si>
    <t>转化为度每秒公式：(返回值/100/减速比)*360</t>
  </si>
  <si>
    <t>获取目标转速</t>
  </si>
  <si>
    <t>仅处在速度模式下有效</t>
  </si>
  <si>
    <t>获取当前位置</t>
  </si>
  <si>
    <t>cnt</t>
  </si>
  <si>
    <r>
      <rPr>
        <sz val="10"/>
        <color rgb="FF000000"/>
        <rFont val="Microsoft YaHei"/>
        <charset val="134"/>
      </rPr>
      <t>输出端位置，</t>
    </r>
    <r>
      <rPr>
        <u/>
        <sz val="10"/>
        <color rgb="FF000000"/>
        <rFont val="Microsoft YaHei"/>
        <charset val="134"/>
      </rPr>
      <t>双编</t>
    </r>
    <r>
      <rPr>
        <sz val="10"/>
        <color rgb="FF000000"/>
        <rFont val="Microsoft YaHei"/>
        <charset val="134"/>
      </rPr>
      <t xml:space="preserve">262144cnt=360° ;  </t>
    </r>
    <r>
      <rPr>
        <u/>
        <sz val="10"/>
        <color rgb="FF000000"/>
        <rFont val="Microsoft YaHei"/>
        <charset val="134"/>
      </rPr>
      <t>单编</t>
    </r>
    <r>
      <rPr>
        <sz val="10"/>
        <color rgb="FF000000"/>
        <rFont val="Microsoft YaHei"/>
        <charset val="134"/>
      </rPr>
      <t>转化为减速机角度公式：(返回值/65536/减速比)*360</t>
    </r>
  </si>
  <si>
    <t>获取目标位置</t>
  </si>
  <si>
    <t>仅处在位置模式下有效</t>
  </si>
  <si>
    <t>获取错误状态</t>
  </si>
  <si>
    <t>对应位为0表示无错误，为1表示出现错误
bit0代表电机内部软件错误，如电机运行时写入FLASH等
bit1代表过压
bit2代表欠压
bit4代表启动错误
bit5代表速度反馈错误
bit6代表过流
bit7代表软件错误，如电机运行时写入FLASH等
bit16代表编码器通讯错误
bit17代表电机温度过高
bit18代表电路板温度过高
bit19代表驱动芯片错误</t>
  </si>
  <si>
    <t>清除电机错误</t>
  </si>
  <si>
    <t>恢复用户参数</t>
  </si>
  <si>
    <t>请在电机停止时操作</t>
  </si>
  <si>
    <t>保存用户参数</t>
  </si>
  <si>
    <t>恢复出厂设置</t>
  </si>
  <si>
    <t>恢复出厂设置需要保存</t>
  </si>
  <si>
    <t>获取速度环KP</t>
  </si>
  <si>
    <t>获取速度环KI</t>
  </si>
  <si>
    <t>获取位置环KP</t>
  </si>
  <si>
    <t>获取位置环KD</t>
  </si>
  <si>
    <t>获取母线电压</t>
  </si>
  <si>
    <t>V</t>
  </si>
  <si>
    <t>供电电源的实时电压</t>
  </si>
  <si>
    <t>获取最大加速度</t>
  </si>
  <si>
    <t>0.01Hz/ms</t>
  </si>
  <si>
    <t>规划速度每毫秒的增加量</t>
  </si>
  <si>
    <t>获取最小加速度</t>
  </si>
  <si>
    <t>规划速度每毫秒的减小量</t>
  </si>
  <si>
    <t>获取最大速度</t>
  </si>
  <si>
    <t>速度环位置环的限制速度</t>
  </si>
  <si>
    <t>获取最小速度</t>
  </si>
  <si>
    <t>获取最大软件限位</t>
  </si>
  <si>
    <t>位置环的限制速度</t>
  </si>
  <si>
    <t>获取最小软件限位</t>
  </si>
  <si>
    <t>获取线圈NTC温度值</t>
  </si>
  <si>
    <t>℃</t>
  </si>
  <si>
    <t>获取Mos管温度值</t>
  </si>
  <si>
    <t>获取速度环KD</t>
  </si>
  <si>
    <t>获取位置环KI</t>
  </si>
  <si>
    <t>获取最大电流值</t>
  </si>
  <si>
    <t>限制电机转矩输出</t>
  </si>
  <si>
    <t>获取最小电流值</t>
  </si>
  <si>
    <t>获取最大电流绝对值</t>
  </si>
  <si>
    <t>电机可设置的极限电流参考绝对值，</t>
  </si>
  <si>
    <t>获取电角度对齐值</t>
  </si>
  <si>
    <t>电角度对齐值（电机端16位）</t>
  </si>
  <si>
    <t>轮廓加速度</t>
  </si>
  <si>
    <t>cnt/s/s</t>
  </si>
  <si>
    <t>轮廓加加速度</t>
  </si>
  <si>
    <t>cnt/s/s/s</t>
  </si>
  <si>
    <t>获取电流、速度、位置</t>
  </si>
  <si>
    <t>8字节</t>
  </si>
  <si>
    <t>组合</t>
  </si>
  <si>
    <t>两字节电流mA+两字节速度0.01Hz+四字节位置cnt</t>
  </si>
  <si>
    <t>获取当前位置偏移</t>
  </si>
  <si>
    <t>当前位置=编码器位置 - 当前偏移值</t>
  </si>
  <si>
    <t>0x85</t>
  </si>
  <si>
    <t>获取电流P</t>
  </si>
  <si>
    <t>0x86</t>
  </si>
  <si>
    <t>获取电流I</t>
  </si>
  <si>
    <t>电机型号</t>
  </si>
  <si>
    <t>以16进制区分</t>
  </si>
  <si>
    <t>电机软件版本号</t>
  </si>
  <si>
    <t>以16进制做版本记录</t>
  </si>
  <si>
    <t>电机硬件版本号</t>
  </si>
  <si>
    <t>以16进制做版本记录+H44</t>
  </si>
  <si>
    <t>获取双编位置限制选择</t>
  </si>
  <si>
    <t>0：不限制°，1:限制±180°运动，</t>
  </si>
  <si>
    <t>获取8字节模式选择</t>
  </si>
  <si>
    <t>0：力位混合，1:轮廓位置</t>
  </si>
  <si>
    <t>获取编码器电池电压</t>
  </si>
  <si>
    <t>电池应该满足大于2.6V以上</t>
  </si>
  <si>
    <t>获取当前位置(内圈)</t>
  </si>
  <si>
    <t>获取电流环KP</t>
  </si>
  <si>
    <t>获取电流环KI</t>
  </si>
  <si>
    <t>获取过压阈值</t>
  </si>
  <si>
    <t>实际电池超出后报错</t>
  </si>
  <si>
    <t>获取正常电压</t>
  </si>
  <si>
    <t>获取低压阈值</t>
  </si>
  <si>
    <t>获取线圈过温阈值</t>
  </si>
  <si>
    <t>实际温度超出后报错</t>
  </si>
  <si>
    <t>获取驱动板过温阈值</t>
  </si>
  <si>
    <t>获取内部单圈值</t>
  </si>
  <si>
    <t>获取内部多圈数</t>
  </si>
  <si>
    <t>获取输出端单圈值</t>
  </si>
  <si>
    <t>获取输出多圈数</t>
  </si>
  <si>
    <t>进入OTA模式</t>
  </si>
  <si>
    <t>Int8</t>
  </si>
  <si>
    <t>OTA模式，返回固定数据0xD4</t>
  </si>
  <si>
    <t>2字节</t>
  </si>
  <si>
    <t>3字节</t>
  </si>
  <si>
    <t>4字节</t>
  </si>
  <si>
    <t>减速停止电机</t>
  </si>
  <si>
    <t>ms</t>
  </si>
  <si>
    <t>按停止时间电机减速停止</t>
  </si>
  <si>
    <t>设置目标电流</t>
  </si>
  <si>
    <t>进入电流模式，并设置目标电流</t>
  </si>
  <si>
    <t>设置目标速度</t>
  </si>
  <si>
    <t>进入速度模式，并设置目标速度</t>
  </si>
  <si>
    <t>设置目标位置</t>
  </si>
  <si>
    <t>进入位置模式，并设置目标位置</t>
  </si>
  <si>
    <t>设置最大正电流</t>
  </si>
  <si>
    <t>设置最小负电流</t>
  </si>
  <si>
    <t>设置最大加速度</t>
  </si>
  <si>
    <t>数值代表每毫秒允许速度增加的值</t>
  </si>
  <si>
    <t>设置最小加速度</t>
  </si>
  <si>
    <t>数值代表每毫秒允许速度减少的值</t>
  </si>
  <si>
    <t>设置最大速度</t>
  </si>
  <si>
    <t>下发参数0.01Hz</t>
  </si>
  <si>
    <t>设置最小速度</t>
  </si>
  <si>
    <t>设置最大软件限位</t>
  </si>
  <si>
    <t>下发参数cnt</t>
  </si>
  <si>
    <t>设置最小软件限位</t>
  </si>
  <si>
    <t>设置速度KP</t>
  </si>
  <si>
    <t>设置速度KI</t>
  </si>
  <si>
    <t>设置位置KP</t>
  </si>
  <si>
    <t>位置环常用PD控制</t>
  </si>
  <si>
    <t>设置位置KI</t>
  </si>
  <si>
    <t>设置位置KD</t>
  </si>
  <si>
    <t>修改电机响应CANID</t>
  </si>
  <si>
    <t>可设置ID为1到127，设置后立刻生效，请用新ID通信</t>
  </si>
  <si>
    <t>设置电机电角度</t>
  </si>
  <si>
    <t>一般不生效，指定规则发送可重新写入电角度</t>
  </si>
  <si>
    <t>修改总线波特率</t>
  </si>
  <si>
    <t>kbps</t>
  </si>
  <si>
    <t>设置后立刻生效，请用新波特率通信，可设置1000、500、250、125、100、50</t>
  </si>
  <si>
    <t>Int16+Int16+Int32</t>
  </si>
  <si>
    <t>进入电流模式，并设置目标电流，并返回两字节电流mA+两字节速度0.01Hz+四字节位置cnt</t>
  </si>
  <si>
    <t>进入速度模式，并设置目标速度，并返回两字节电流mA+两字节速度0.01Hz+四字节位置cnt</t>
  </si>
  <si>
    <t>进入位置模式，并设置目标位置，并返回两字节电流mA+两字节速度0.01Hz+四字节位置cnt</t>
  </si>
  <si>
    <t>设置梯形位置，并返回</t>
  </si>
  <si>
    <t>设置位置环前馈电流</t>
  </si>
  <si>
    <t>防止下坠，启动前配置，电机使能前偏置的电流</t>
  </si>
  <si>
    <t>编码器归零</t>
  </si>
  <si>
    <t>设置位置偏移值</t>
  </si>
  <si>
    <t>常用于标零，设置完成后，目标位置自动更新（目标位置=编码器位置 - 偏移值）</t>
  </si>
  <si>
    <t>设置位置限制开启</t>
  </si>
  <si>
    <t>bit0:置1开启速度环位置限制，</t>
  </si>
  <si>
    <t>设置报文上传及心跳时间</t>
  </si>
  <si>
    <t>设置0关闭；上传数据为电流速度位置；心跳内无通信，电机停止;         （ec版本程序暂无）</t>
  </si>
  <si>
    <t>PT模式：目标位置</t>
  </si>
  <si>
    <t>float</t>
  </si>
  <si>
    <t>rad</t>
  </si>
  <si>
    <t>PT模式一种特殊应用：只有接收目标位置，速度扭矩自动赋值0</t>
  </si>
  <si>
    <t>双边位置限制</t>
  </si>
  <si>
    <t>8字节模式选择</t>
  </si>
  <si>
    <t>设置八字节轮廓位置模式力位混合模式 0力位混合模式 1轮廓位置模式</t>
  </si>
  <si>
    <t>设置电流KP</t>
  </si>
  <si>
    <t>设置电流KI</t>
  </si>
  <si>
    <t>设置过压阈值（重启生效）</t>
  </si>
  <si>
    <t>0x88</t>
  </si>
  <si>
    <t>设置额定电压</t>
  </si>
  <si>
    <t>设置低压阈值（重启生效）</t>
  </si>
  <si>
    <t>设置线圈最大电压</t>
  </si>
  <si>
    <t>设置驱动板最大电压</t>
  </si>
  <si>
    <t>设置bootloader时间</t>
  </si>
  <si>
    <t>？</t>
  </si>
  <si>
    <t>OTA模式，返回固定数据0xD5</t>
  </si>
  <si>
    <t>解析</t>
  </si>
  <si>
    <t>格式：cmd(1字节)+rw(1字节)+data(1字节)
cmd:功能码
rw:读写命令(4读，2写)
data:数据值</t>
  </si>
  <si>
    <t>例子</t>
  </si>
  <si>
    <t>42 20 xx xx xx xx，x就是想写的参数；42 40 xx xx xx xx。</t>
  </si>
  <si>
    <t>6字节</t>
  </si>
  <si>
    <t>PT解析减速比</t>
  </si>
  <si>
    <t>力位混合模式：减速比</t>
  </si>
  <si>
    <t>PT解析KP</t>
  </si>
  <si>
    <t>力位混合模式：KP</t>
  </si>
  <si>
    <t>PT解析KD</t>
  </si>
  <si>
    <t>力位混合模式：KD</t>
  </si>
  <si>
    <t>PT解析KT</t>
  </si>
  <si>
    <t>力位混合模式：KT</t>
  </si>
  <si>
    <t>PT解析最小值扭矩</t>
  </si>
  <si>
    <t>力位：扭矩解析最小值</t>
  </si>
  <si>
    <t>PT解析最大值扭矩</t>
  </si>
  <si>
    <t>力位：扭矩解析最大值</t>
  </si>
  <si>
    <t>PT解析最小值电流</t>
  </si>
  <si>
    <t>力位：电流解析最小值</t>
  </si>
  <si>
    <t>NTC电阻类型</t>
  </si>
  <si>
    <t>1是24年9月前NTC型号，2是当前NTC型号</t>
  </si>
  <si>
    <t>位置环PID功能</t>
  </si>
  <si>
    <t>位置环PID功能最小值</t>
  </si>
  <si>
    <t>位置环PID功能最大值</t>
  </si>
  <si>
    <t>ethcatID</t>
  </si>
  <si>
    <t>7字节</t>
  </si>
  <si>
    <t>PT模式-目标位置+目标速度</t>
  </si>
  <si>
    <t>Int32+Int32</t>
  </si>
  <si>
    <t>cnt+0.01Hz</t>
  </si>
  <si>
    <t>进入PT模式：位置值和速度值</t>
  </si>
  <si>
    <t>0x10</t>
  </si>
  <si>
    <t>位置模式-前馈扭矩</t>
  </si>
  <si>
    <t>0x11</t>
  </si>
  <si>
    <t>位置模式-前馈速度</t>
  </si>
  <si>
    <t>位置模式-兼速度修改</t>
  </si>
  <si>
    <t>Int32+Int16</t>
  </si>
  <si>
    <t>四字节目标位置cnt+限制速度0.01Hz</t>
  </si>
  <si>
    <t>模式</t>
  </si>
  <si>
    <t>8字节由其他功能码指定解析方式，运行前先检查</t>
  </si>
  <si>
    <t>轮廓位置模式</t>
  </si>
  <si>
    <t>-略</t>
  </si>
  <si>
    <t>人型接口力位混合模式（PT模式）</t>
  </si>
  <si>
    <t>位置转换</t>
  </si>
  <si>
    <t>单编码器精度</t>
  </si>
  <si>
    <t>双编码器精度</t>
  </si>
  <si>
    <t>输入</t>
  </si>
  <si>
    <t>减速比</t>
  </si>
  <si>
    <t>输出端（度）</t>
  </si>
  <si>
    <t>输出端（弧度）</t>
  </si>
  <si>
    <t>单编码器cnt</t>
  </si>
  <si>
    <t>双编码器cnt</t>
  </si>
  <si>
    <t>速度转换</t>
  </si>
  <si>
    <t>0.01HZ</t>
  </si>
  <si>
    <t>电机端（RPM）</t>
  </si>
  <si>
    <t>输出端（RPM）</t>
  </si>
  <si>
    <t>输出端（度/秒）</t>
  </si>
  <si>
    <t>输出端（弧度/S）</t>
  </si>
  <si>
    <t>电机端（0.01HZ）</t>
  </si>
  <si>
    <t>目标角度</t>
  </si>
  <si>
    <t>编码器位数</t>
  </si>
  <si>
    <t>1E</t>
  </si>
  <si>
    <t>双编码器需注意：
减速比一栏写1
编码器位数写262144</t>
  </si>
  <si>
    <t>10000*0.01</t>
  </si>
  <si>
    <t>电机端接收的数据</t>
  </si>
  <si>
    <t xml:space="preserve">        MC_Interface.NextState = MS_PT_MODE;
        PT_mode.mode = 0;
        PT_mode.INThPT_KP = (RxData[0] &lt;&lt; 7) + (RxData[1] &gt;&gt; 1);
        PT_mode.INThPT_KD = ((RxData[1] &amp; 0X1) &lt;&lt; 8) + RxData[2];
        PT_mode.INTtargetpos_rad = (RxData[3] &lt;&lt; 8) + RxData[4];
        PT_mode.INTtargetspeed_rads = ((RxData[5]) &lt;&lt; 4) + (RxData[6] &gt;&gt; 4);
        PT_mode.INTtargettorque_NM = ((RxData[6] &amp; 0XF) &lt;&lt; 8) + RxData[7];
        PT_mode.hPT_KP = uint_to_float(PT_mode.INThPT_KP, KP_MINX, KP_MAXX, 12);
        PT_mode.hPT_KD = uint_to_float(PT_mode.INThPT_KD, KD_MINX, KD_MAXX, 9);
        PT_mode.targetpos_rad = uint_to_float(PT_mode.INTtargetpos_rad, POS_MINX, POS_MAXX, 16);
        PT_mode.targetspeed_rads = uint_to_float(PT_mode.INTtargetspeed_rads, SPD_MINX, SPD_MAXX, 12);
        PT_mode.targettorque_NM = uint_to_float(PT_mode.INTtargettorque_NM, T_MINX, T_MAXX, 12);</t>
  </si>
  <si>
    <t>电机端反馈的数据</t>
  </si>
  <si>
    <t xml:space="preserve">        PT_mode.INTpos_rad = float_to_uint(PT_mode.pos_rad, POS_MINX, POS_MAXX, 16);
        PT_mode.INTspeed_rads = float_to_uint(PT_mode.speed_rads, SPD_MINX, SPD_MAXX, 12);
        PT_mode.INTcurrent_A = float_to_uint(PT_mode.current_A, I_MINX, I_MAXX, 12);
        TxData[0] = 0x01 + PT_mode.motor_error;
        TxData[1] = (PT_mode.INTpos_rad &gt;&gt; 8) &amp; 0XFF;
        TxData[2] = PT_mode.INTpos_rad &amp; 0XFF;
        TxData[3] = (PT_mode.INTspeed_rads &gt;&gt; 4) &amp; 0XFF;
        TxData[4] = ((PT_mode.INTspeed_rads &amp; 0XF) &lt;&lt; 4) | (PT_mode.INTcurrent_A &gt;&gt; 8);
        TxData[5] = PT_mode.INTcurrent_A &amp; 0XFF;
        TxData[6] = (uint8_t)(PT_mode.Coil_Temp_Celsiu * 2 + 50);
        TxData[7] = (uint8_t)(PT_mode.Board_Temp_Celsiu * 2 + 50);
        TxHeader.DataLength = FDCAN_DLC_BYTES_8;
        HAL_FDCAN_AddMessageToTxFifoQ(&amp;hfdcan1, &amp;TxHeader, TxData);</t>
  </si>
  <si>
    <t>转换</t>
  </si>
  <si>
    <t>int float_to_uint(float x, float x_min, float x_max, int bits)
{
  float span = x_max - x_min;
  float offset = x_min;
  return (int)((x - offset) * ((float)((1 &lt;&lt; bits) - 1)) / span);
}
float uint_to_float(int x_int, float x_min, float x_max, int bits)
{
  float span = x_max - x_min;
  float offset = x_min;
  return ((float)x_int) * span / ((float)((1 &lt;&lt; bits) - 1)) + offset;
}</t>
  </si>
  <si>
    <t>增益</t>
  </si>
  <si>
    <t>采样电阻（毫欧）</t>
  </si>
  <si>
    <t>ACTUATOR_IQMAX</t>
  </si>
  <si>
    <t>最大电流绝对值(mA)</t>
  </si>
  <si>
    <t>30-40</t>
  </si>
  <si>
    <t>40-52</t>
  </si>
  <si>
    <t>50-60</t>
  </si>
  <si>
    <t>50-70</t>
  </si>
  <si>
    <t>60-70</t>
  </si>
  <si>
    <t>60-80</t>
  </si>
  <si>
    <t>70-80</t>
  </si>
  <si>
    <t>70-90</t>
  </si>
  <si>
    <t>80-97</t>
  </si>
  <si>
    <t>80-110</t>
  </si>
  <si>
    <t>100-120</t>
  </si>
  <si>
    <t>100-145</t>
  </si>
  <si>
    <t>100-142</t>
  </si>
  <si>
    <t>110-170</t>
  </si>
  <si>
    <t>度</t>
  </si>
  <si>
    <t>角分</t>
  </si>
  <si>
    <t>角秒</t>
  </si>
  <si>
    <t>编码器</t>
  </si>
  <si>
    <t>360°CNT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</si>
  <si>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NT/角秒</t>
    </r>
  </si>
  <si>
    <t>末端移动（um）</t>
  </si>
  <si>
    <t>杆长mm</t>
  </si>
  <si>
    <t>移动角秒</t>
  </si>
  <si>
    <t>S</t>
  </si>
  <si>
    <t>A</t>
  </si>
  <si>
    <t>D</t>
  </si>
  <si>
    <t>J</t>
  </si>
  <si>
    <t>T1</t>
  </si>
  <si>
    <t>T2</t>
  </si>
  <si>
    <t>T3</t>
  </si>
  <si>
    <t>T4</t>
  </si>
  <si>
    <t>T5</t>
  </si>
  <si>
    <t>T6</t>
  </si>
  <si>
    <t>T7</t>
  </si>
  <si>
    <t>S总</t>
  </si>
  <si>
    <t>S++</t>
  </si>
  <si>
    <t>S--</t>
  </si>
  <si>
    <t>J*T*T</t>
  </si>
  <si>
    <t>A(T1+T2)</t>
  </si>
  <si>
    <t>S-T5*4</t>
  </si>
  <si>
    <t>S++（T5代入T2）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</si>
</sst>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#,##0_ "/>
    <numFmt numFmtId="179" formatCode="0.0_ "/>
  </numFmts>
  <fonts count="36">
    <font>
      <sz val="11"/>
      <color theme="1"/>
      <name val="等线"/>
      <charset val="134"/>
      <scheme val="minor"/>
    </font>
    <font>
      <sz val="11"/>
      <color theme="4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0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20"/>
      <color theme="9" tint="-0.499984740745262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2" tint="-0.249977111117893"/>
      <name val="等线"/>
      <charset val="134"/>
      <scheme val="minor"/>
    </font>
    <font>
      <sz val="11"/>
      <color rgb="FFFFC000"/>
      <name val="等线"/>
      <charset val="134"/>
      <scheme val="minor"/>
    </font>
    <font>
      <sz val="11"/>
      <color theme="0" tint="-0.249977111117893"/>
      <name val="等线"/>
      <charset val="134"/>
      <scheme val="minor"/>
    </font>
    <font>
      <sz val="12"/>
      <name val="Heiti SC Light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24"/>
      <name val="黑体"/>
      <charset val="134"/>
    </font>
    <font>
      <b/>
      <sz val="12"/>
      <name val="黑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000000"/>
      <name val="Microsoft YaHe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B9D7EA"/>
        <bgColor indexed="64"/>
      </patternFill>
    </fill>
    <fill>
      <patternFill patternType="solid">
        <fgColor rgb="FFD6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/>
    <xf numFmtId="0" fontId="17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7" fillId="12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3" borderId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Font="1" applyAlignment="1">
      <alignment horizontal="center"/>
    </xf>
    <xf numFmtId="0" fontId="1" fillId="0" borderId="0" xfId="0" applyFont="1"/>
    <xf numFmtId="176" fontId="2" fillId="0" borderId="0" xfId="0" applyNumberFormat="1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6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1" fillId="3" borderId="2" xfId="11" applyFont="1" applyFill="1" applyBorder="1" applyAlignment="1">
      <alignment horizontal="center" vertical="center" wrapText="1"/>
    </xf>
    <xf numFmtId="0" fontId="11" fillId="3" borderId="3" xfId="1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22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1" fillId="3" borderId="8" xfId="11" applyFont="1" applyFill="1" applyBorder="1" applyAlignment="1">
      <alignment horizontal="center" vertical="center" wrapText="1"/>
    </xf>
    <xf numFmtId="0" fontId="14" fillId="3" borderId="1" xfId="11" applyFont="1" applyFill="1" applyBorder="1" applyAlignment="1">
      <alignment horizontal="center" vertical="center" wrapText="1"/>
    </xf>
    <xf numFmtId="0" fontId="15" fillId="3" borderId="1" xfId="11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left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7" borderId="0" xfId="22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3" fillId="6" borderId="0" xfId="0" applyFont="1" applyFill="1" applyBorder="1" applyAlignment="1">
      <alignment vertical="center" wrapText="1"/>
    </xf>
    <xf numFmtId="0" fontId="13" fillId="7" borderId="0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22" applyFont="1" applyFill="1" applyBorder="1" applyAlignment="1">
      <alignment horizontal="left" vertical="center" wrapText="1"/>
    </xf>
    <xf numFmtId="0" fontId="13" fillId="7" borderId="1" xfId="22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left" vertical="center" wrapText="1"/>
    </xf>
    <xf numFmtId="49" fontId="13" fillId="6" borderId="1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7712075</xdr:colOff>
      <xdr:row>0</xdr:row>
      <xdr:rowOff>1025525</xdr:rowOff>
    </xdr:from>
    <xdr:to>
      <xdr:col>8</xdr:col>
      <xdr:colOff>27886</xdr:colOff>
      <xdr:row>2</xdr:row>
      <xdr:rowOff>49882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81135" y="1025525"/>
          <a:ext cx="5223510" cy="45770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tabSelected="1" zoomScale="115" zoomScaleNormal="115" workbookViewId="0">
      <pane xSplit="2" ySplit="2" topLeftCell="C107" activePane="bottomRight" state="frozen"/>
      <selection/>
      <selection pane="topRight"/>
      <selection pane="bottomLeft"/>
      <selection pane="bottomRight" activeCell="H114" sqref="H114"/>
    </sheetView>
  </sheetViews>
  <sheetFormatPr defaultColWidth="9" defaultRowHeight="16.8"/>
  <cols>
    <col min="1" max="1" width="10.375" style="25" customWidth="1"/>
    <col min="2" max="2" width="5.875" style="35" customWidth="1"/>
    <col min="3" max="3" width="7.25" style="35" customWidth="1"/>
    <col min="4" max="4" width="28.375" style="25" customWidth="1"/>
    <col min="5" max="5" width="8.25" style="35" customWidth="1"/>
    <col min="6" max="6" width="16.625" style="35" customWidth="1"/>
    <col min="7" max="7" width="10.375" style="25" customWidth="1"/>
    <col min="8" max="8" width="80.875" style="33" customWidth="1"/>
    <col min="9" max="9" width="9" style="25" customWidth="1"/>
    <col min="10" max="16384" width="9" style="25"/>
  </cols>
  <sheetData>
    <row r="1" ht="78.95" customHeight="1" spans="1:8">
      <c r="A1" s="36" t="s">
        <v>0</v>
      </c>
      <c r="B1" s="37"/>
      <c r="C1" s="37"/>
      <c r="D1" s="37"/>
      <c r="E1" s="50"/>
      <c r="F1" s="51" t="s">
        <v>1</v>
      </c>
      <c r="G1" s="52"/>
      <c r="H1" s="51" t="s">
        <v>2</v>
      </c>
    </row>
    <row r="2" ht="19.5" customHeight="1" spans="1:8">
      <c r="A2" s="38" t="s">
        <v>3</v>
      </c>
      <c r="B2" s="38" t="s">
        <v>4</v>
      </c>
      <c r="C2" s="38" t="s">
        <v>5</v>
      </c>
      <c r="D2" s="38" t="s">
        <v>6</v>
      </c>
      <c r="E2" s="38" t="s">
        <v>7</v>
      </c>
      <c r="F2" s="38" t="s">
        <v>8</v>
      </c>
      <c r="G2" s="38" t="s">
        <v>9</v>
      </c>
      <c r="H2" s="53" t="s">
        <v>10</v>
      </c>
    </row>
    <row r="3" ht="19.5" customHeight="1" spans="1:8">
      <c r="A3" s="39" t="s">
        <v>11</v>
      </c>
      <c r="B3" s="40">
        <v>2</v>
      </c>
      <c r="C3" s="40" t="str">
        <f t="shared" ref="C3:C40" si="0">"0x"&amp;DEC2HEX(B3,2)</f>
        <v>0x02</v>
      </c>
      <c r="D3" s="41" t="s">
        <v>12</v>
      </c>
      <c r="E3" s="40" t="s">
        <v>13</v>
      </c>
      <c r="F3" s="40" t="s">
        <v>13</v>
      </c>
      <c r="G3" s="40" t="s">
        <v>13</v>
      </c>
      <c r="H3" s="54" t="s">
        <v>14</v>
      </c>
    </row>
    <row r="4" ht="19.5" customHeight="1" spans="1:8">
      <c r="A4" s="42"/>
      <c r="B4" s="43">
        <v>3</v>
      </c>
      <c r="C4" s="43" t="str">
        <f t="shared" si="0"/>
        <v>0x03</v>
      </c>
      <c r="D4" s="44" t="s">
        <v>15</v>
      </c>
      <c r="E4" s="43" t="s">
        <v>16</v>
      </c>
      <c r="F4" s="43" t="s">
        <v>17</v>
      </c>
      <c r="G4" s="43" t="s">
        <v>13</v>
      </c>
      <c r="H4" s="55" t="s">
        <v>13</v>
      </c>
    </row>
    <row r="5" ht="19.5" customHeight="1" spans="1:8">
      <c r="A5" s="42"/>
      <c r="B5" s="40">
        <v>4</v>
      </c>
      <c r="C5" s="40" t="str">
        <f t="shared" si="0"/>
        <v>0x04</v>
      </c>
      <c r="D5" s="41" t="s">
        <v>18</v>
      </c>
      <c r="E5" s="40" t="s">
        <v>16</v>
      </c>
      <c r="F5" s="40" t="s">
        <v>17</v>
      </c>
      <c r="G5" s="40" t="s">
        <v>19</v>
      </c>
      <c r="H5" s="54" t="s">
        <v>13</v>
      </c>
    </row>
    <row r="6" ht="19.5" customHeight="1" spans="1:8">
      <c r="A6" s="42"/>
      <c r="B6" s="43">
        <v>5</v>
      </c>
      <c r="C6" s="43" t="str">
        <f t="shared" si="0"/>
        <v>0x05</v>
      </c>
      <c r="D6" s="44" t="s">
        <v>20</v>
      </c>
      <c r="E6" s="43" t="s">
        <v>16</v>
      </c>
      <c r="F6" s="43" t="s">
        <v>17</v>
      </c>
      <c r="G6" s="43" t="s">
        <v>19</v>
      </c>
      <c r="H6" s="55" t="s">
        <v>21</v>
      </c>
    </row>
    <row r="7" ht="19.5" customHeight="1" spans="1:8">
      <c r="A7" s="42"/>
      <c r="B7" s="40">
        <v>6</v>
      </c>
      <c r="C7" s="40" t="str">
        <f t="shared" si="0"/>
        <v>0x06</v>
      </c>
      <c r="D7" s="41" t="s">
        <v>22</v>
      </c>
      <c r="E7" s="40" t="s">
        <v>16</v>
      </c>
      <c r="F7" s="40" t="s">
        <v>17</v>
      </c>
      <c r="G7" s="40" t="s">
        <v>23</v>
      </c>
      <c r="H7" s="54" t="s">
        <v>24</v>
      </c>
    </row>
    <row r="8" ht="19.5" customHeight="1" spans="1:8">
      <c r="A8" s="42"/>
      <c r="B8" s="43">
        <v>7</v>
      </c>
      <c r="C8" s="43" t="str">
        <f t="shared" si="0"/>
        <v>0x07</v>
      </c>
      <c r="D8" s="44" t="s">
        <v>25</v>
      </c>
      <c r="E8" s="43" t="s">
        <v>16</v>
      </c>
      <c r="F8" s="43" t="s">
        <v>17</v>
      </c>
      <c r="G8" s="43" t="s">
        <v>23</v>
      </c>
      <c r="H8" s="55" t="s">
        <v>26</v>
      </c>
    </row>
    <row r="9" ht="19.5" customHeight="1" spans="1:10">
      <c r="A9" s="42"/>
      <c r="B9" s="40">
        <v>8</v>
      </c>
      <c r="C9" s="40" t="str">
        <f t="shared" si="0"/>
        <v>0x08</v>
      </c>
      <c r="D9" s="41" t="s">
        <v>27</v>
      </c>
      <c r="E9" s="40" t="s">
        <v>16</v>
      </c>
      <c r="F9" s="40" t="s">
        <v>17</v>
      </c>
      <c r="G9" s="40" t="s">
        <v>28</v>
      </c>
      <c r="H9" s="54" t="s">
        <v>29</v>
      </c>
      <c r="J9" s="13"/>
    </row>
    <row r="10" ht="19.5" customHeight="1" spans="1:8">
      <c r="A10" s="42"/>
      <c r="B10" s="43">
        <v>9</v>
      </c>
      <c r="C10" s="43" t="str">
        <f t="shared" si="0"/>
        <v>0x09</v>
      </c>
      <c r="D10" s="44" t="s">
        <v>30</v>
      </c>
      <c r="E10" s="43" t="s">
        <v>16</v>
      </c>
      <c r="F10" s="43" t="s">
        <v>17</v>
      </c>
      <c r="G10" s="43" t="s">
        <v>28</v>
      </c>
      <c r="H10" s="55" t="s">
        <v>31</v>
      </c>
    </row>
    <row r="11" ht="183" spans="1:8">
      <c r="A11" s="42"/>
      <c r="B11" s="40">
        <v>10</v>
      </c>
      <c r="C11" s="40" t="str">
        <f t="shared" si="0"/>
        <v>0x0A</v>
      </c>
      <c r="D11" s="41" t="s">
        <v>32</v>
      </c>
      <c r="E11" s="40" t="s">
        <v>16</v>
      </c>
      <c r="F11" s="43" t="s">
        <v>17</v>
      </c>
      <c r="G11" s="40" t="s">
        <v>13</v>
      </c>
      <c r="H11" s="54" t="s">
        <v>33</v>
      </c>
    </row>
    <row r="12" ht="19.5" customHeight="1" spans="1:16">
      <c r="A12" s="42"/>
      <c r="B12" s="43">
        <v>11</v>
      </c>
      <c r="C12" s="43" t="str">
        <f t="shared" si="0"/>
        <v>0x0B</v>
      </c>
      <c r="D12" s="44" t="s">
        <v>34</v>
      </c>
      <c r="E12" s="43" t="s">
        <v>13</v>
      </c>
      <c r="F12" s="43" t="s">
        <v>13</v>
      </c>
      <c r="G12" s="43" t="s">
        <v>13</v>
      </c>
      <c r="H12" s="55" t="s">
        <v>13</v>
      </c>
      <c r="I12" s="57"/>
      <c r="J12" s="58"/>
      <c r="K12" s="57"/>
      <c r="L12" s="57"/>
      <c r="M12" s="57"/>
      <c r="N12" s="62"/>
      <c r="O12" s="61"/>
      <c r="P12" s="61"/>
    </row>
    <row r="13" ht="19.5" customHeight="1" spans="1:16">
      <c r="A13" s="42"/>
      <c r="B13" s="40">
        <v>13</v>
      </c>
      <c r="C13" s="40" t="str">
        <f t="shared" si="0"/>
        <v>0x0D</v>
      </c>
      <c r="D13" s="41" t="s">
        <v>35</v>
      </c>
      <c r="E13" s="40" t="s">
        <v>13</v>
      </c>
      <c r="F13" s="40" t="s">
        <v>13</v>
      </c>
      <c r="G13" s="40" t="s">
        <v>13</v>
      </c>
      <c r="H13" s="54" t="s">
        <v>36</v>
      </c>
      <c r="I13" s="59"/>
      <c r="J13" s="60"/>
      <c r="K13" s="59"/>
      <c r="L13" s="59"/>
      <c r="M13" s="59"/>
      <c r="N13" s="63"/>
      <c r="O13" s="61"/>
      <c r="P13" s="61"/>
    </row>
    <row r="14" ht="19.5" customHeight="1" spans="1:16">
      <c r="A14" s="42"/>
      <c r="B14" s="43">
        <v>14</v>
      </c>
      <c r="C14" s="43" t="str">
        <f t="shared" si="0"/>
        <v>0x0E</v>
      </c>
      <c r="D14" s="44" t="s">
        <v>37</v>
      </c>
      <c r="E14" s="43" t="s">
        <v>13</v>
      </c>
      <c r="F14" s="43" t="s">
        <v>13</v>
      </c>
      <c r="G14" s="43" t="s">
        <v>13</v>
      </c>
      <c r="H14" s="55" t="s">
        <v>36</v>
      </c>
      <c r="I14" s="61"/>
      <c r="J14" s="61"/>
      <c r="K14" s="61"/>
      <c r="L14" s="61"/>
      <c r="M14" s="61"/>
      <c r="N14" s="61"/>
      <c r="O14" s="61"/>
      <c r="P14" s="61"/>
    </row>
    <row r="15" ht="19.5" customHeight="1" spans="1:16">
      <c r="A15" s="42"/>
      <c r="B15" s="40">
        <v>15</v>
      </c>
      <c r="C15" s="40" t="str">
        <f t="shared" si="0"/>
        <v>0x0F</v>
      </c>
      <c r="D15" s="41" t="s">
        <v>38</v>
      </c>
      <c r="E15" s="40" t="s">
        <v>13</v>
      </c>
      <c r="F15" s="40" t="s">
        <v>13</v>
      </c>
      <c r="G15" s="40" t="s">
        <v>13</v>
      </c>
      <c r="H15" s="54" t="s">
        <v>39</v>
      </c>
      <c r="I15" s="61"/>
      <c r="J15" s="61"/>
      <c r="K15" s="61"/>
      <c r="L15" s="61"/>
      <c r="M15" s="61"/>
      <c r="N15" s="61"/>
      <c r="O15" s="61"/>
      <c r="P15" s="61"/>
    </row>
    <row r="16" ht="19.5" customHeight="1" spans="1:8">
      <c r="A16" s="42"/>
      <c r="B16" s="43">
        <v>16</v>
      </c>
      <c r="C16" s="43" t="str">
        <f t="shared" si="0"/>
        <v>0x10</v>
      </c>
      <c r="D16" s="44" t="s">
        <v>40</v>
      </c>
      <c r="E16" s="43" t="s">
        <v>16</v>
      </c>
      <c r="F16" s="43" t="s">
        <v>17</v>
      </c>
      <c r="G16" s="43" t="s">
        <v>13</v>
      </c>
      <c r="H16" s="55" t="s">
        <v>13</v>
      </c>
    </row>
    <row r="17" ht="19.5" customHeight="1" spans="1:8">
      <c r="A17" s="42"/>
      <c r="B17" s="40">
        <v>17</v>
      </c>
      <c r="C17" s="40" t="str">
        <f t="shared" si="0"/>
        <v>0x11</v>
      </c>
      <c r="D17" s="41" t="s">
        <v>41</v>
      </c>
      <c r="E17" s="40" t="s">
        <v>16</v>
      </c>
      <c r="F17" s="40" t="s">
        <v>17</v>
      </c>
      <c r="G17" s="40" t="s">
        <v>13</v>
      </c>
      <c r="H17" s="54" t="s">
        <v>13</v>
      </c>
    </row>
    <row r="18" ht="19.5" customHeight="1" spans="1:8">
      <c r="A18" s="42"/>
      <c r="B18" s="43">
        <v>18</v>
      </c>
      <c r="C18" s="43" t="str">
        <f t="shared" si="0"/>
        <v>0x12</v>
      </c>
      <c r="D18" s="44" t="s">
        <v>42</v>
      </c>
      <c r="E18" s="43" t="s">
        <v>16</v>
      </c>
      <c r="F18" s="43" t="s">
        <v>17</v>
      </c>
      <c r="G18" s="43" t="s">
        <v>13</v>
      </c>
      <c r="H18" s="55" t="s">
        <v>13</v>
      </c>
    </row>
    <row r="19" ht="19.5" customHeight="1" spans="1:8">
      <c r="A19" s="42"/>
      <c r="B19" s="40">
        <v>19</v>
      </c>
      <c r="C19" s="40" t="str">
        <f t="shared" si="0"/>
        <v>0x13</v>
      </c>
      <c r="D19" s="41" t="s">
        <v>43</v>
      </c>
      <c r="E19" s="40" t="s">
        <v>16</v>
      </c>
      <c r="F19" s="40" t="s">
        <v>17</v>
      </c>
      <c r="G19" s="40" t="s">
        <v>13</v>
      </c>
      <c r="H19" s="54" t="s">
        <v>13</v>
      </c>
    </row>
    <row r="20" ht="19.5" customHeight="1" spans="1:8">
      <c r="A20" s="42"/>
      <c r="B20" s="43">
        <v>20</v>
      </c>
      <c r="C20" s="43" t="str">
        <f t="shared" si="0"/>
        <v>0x14</v>
      </c>
      <c r="D20" s="44" t="s">
        <v>44</v>
      </c>
      <c r="E20" s="43" t="s">
        <v>16</v>
      </c>
      <c r="F20" s="43" t="s">
        <v>17</v>
      </c>
      <c r="G20" s="43" t="s">
        <v>45</v>
      </c>
      <c r="H20" s="55" t="s">
        <v>46</v>
      </c>
    </row>
    <row r="21" ht="19.5" customHeight="1" spans="1:8">
      <c r="A21" s="42"/>
      <c r="B21" s="40">
        <v>22</v>
      </c>
      <c r="C21" s="40" t="str">
        <f t="shared" si="0"/>
        <v>0x16</v>
      </c>
      <c r="D21" s="41" t="s">
        <v>47</v>
      </c>
      <c r="E21" s="40" t="s">
        <v>16</v>
      </c>
      <c r="F21" s="40" t="s">
        <v>17</v>
      </c>
      <c r="G21" s="40" t="s">
        <v>48</v>
      </c>
      <c r="H21" s="54" t="s">
        <v>49</v>
      </c>
    </row>
    <row r="22" ht="19.5" customHeight="1" spans="1:8">
      <c r="A22" s="42"/>
      <c r="B22" s="43">
        <v>23</v>
      </c>
      <c r="C22" s="43" t="str">
        <f t="shared" si="0"/>
        <v>0x17</v>
      </c>
      <c r="D22" s="44" t="s">
        <v>50</v>
      </c>
      <c r="E22" s="43" t="s">
        <v>16</v>
      </c>
      <c r="F22" s="43" t="s">
        <v>17</v>
      </c>
      <c r="G22" s="43" t="s">
        <v>48</v>
      </c>
      <c r="H22" s="55" t="s">
        <v>51</v>
      </c>
    </row>
    <row r="23" ht="19.5" customHeight="1" spans="1:8">
      <c r="A23" s="42"/>
      <c r="B23" s="40">
        <v>24</v>
      </c>
      <c r="C23" s="40" t="str">
        <f t="shared" si="0"/>
        <v>0x18</v>
      </c>
      <c r="D23" s="41" t="s">
        <v>52</v>
      </c>
      <c r="E23" s="40" t="s">
        <v>16</v>
      </c>
      <c r="F23" s="40" t="s">
        <v>17</v>
      </c>
      <c r="G23" s="40" t="s">
        <v>23</v>
      </c>
      <c r="H23" s="54" t="s">
        <v>53</v>
      </c>
    </row>
    <row r="24" ht="19.5" customHeight="1" spans="1:8">
      <c r="A24" s="42"/>
      <c r="B24" s="43">
        <v>25</v>
      </c>
      <c r="C24" s="43" t="str">
        <f t="shared" si="0"/>
        <v>0x19</v>
      </c>
      <c r="D24" s="44" t="s">
        <v>54</v>
      </c>
      <c r="E24" s="43" t="s">
        <v>16</v>
      </c>
      <c r="F24" s="43" t="s">
        <v>17</v>
      </c>
      <c r="G24" s="43" t="s">
        <v>23</v>
      </c>
      <c r="H24" s="55" t="s">
        <v>53</v>
      </c>
    </row>
    <row r="25" ht="19.5" customHeight="1" spans="1:8">
      <c r="A25" s="42"/>
      <c r="B25" s="40">
        <v>26</v>
      </c>
      <c r="C25" s="40" t="str">
        <f t="shared" si="0"/>
        <v>0x1A</v>
      </c>
      <c r="D25" s="41" t="s">
        <v>55</v>
      </c>
      <c r="E25" s="40" t="s">
        <v>16</v>
      </c>
      <c r="F25" s="40" t="s">
        <v>17</v>
      </c>
      <c r="G25" s="40" t="s">
        <v>28</v>
      </c>
      <c r="H25" s="54" t="s">
        <v>56</v>
      </c>
    </row>
    <row r="26" ht="19.5" customHeight="1" spans="1:8">
      <c r="A26" s="42"/>
      <c r="B26" s="43">
        <v>27</v>
      </c>
      <c r="C26" s="43" t="str">
        <f t="shared" si="0"/>
        <v>0x1B</v>
      </c>
      <c r="D26" s="44" t="s">
        <v>57</v>
      </c>
      <c r="E26" s="43" t="s">
        <v>16</v>
      </c>
      <c r="F26" s="43" t="s">
        <v>17</v>
      </c>
      <c r="G26" s="43" t="s">
        <v>28</v>
      </c>
      <c r="H26" s="55" t="s">
        <v>56</v>
      </c>
    </row>
    <row r="27" ht="19.5" customHeight="1" spans="1:8">
      <c r="A27" s="42"/>
      <c r="B27" s="43">
        <v>49</v>
      </c>
      <c r="C27" s="43" t="str">
        <f t="shared" si="0"/>
        <v>0x31</v>
      </c>
      <c r="D27" s="44" t="s">
        <v>58</v>
      </c>
      <c r="E27" s="43" t="s">
        <v>16</v>
      </c>
      <c r="F27" s="43" t="s">
        <v>17</v>
      </c>
      <c r="G27" s="43" t="s">
        <v>59</v>
      </c>
      <c r="H27" s="55" t="s">
        <v>13</v>
      </c>
    </row>
    <row r="28" ht="19.5" customHeight="1" spans="1:8">
      <c r="A28" s="42"/>
      <c r="B28" s="40">
        <v>50</v>
      </c>
      <c r="C28" s="40" t="str">
        <f t="shared" si="0"/>
        <v>0x32</v>
      </c>
      <c r="D28" s="41" t="s">
        <v>60</v>
      </c>
      <c r="E28" s="40" t="s">
        <v>16</v>
      </c>
      <c r="F28" s="40" t="s">
        <v>17</v>
      </c>
      <c r="G28" s="40" t="s">
        <v>59</v>
      </c>
      <c r="H28" s="54" t="s">
        <v>13</v>
      </c>
    </row>
    <row r="29" ht="19.5" customHeight="1" spans="1:8">
      <c r="A29" s="42"/>
      <c r="B29" s="43">
        <v>51</v>
      </c>
      <c r="C29" s="43" t="str">
        <f t="shared" si="0"/>
        <v>0x33</v>
      </c>
      <c r="D29" s="44" t="s">
        <v>61</v>
      </c>
      <c r="E29" s="43" t="s">
        <v>16</v>
      </c>
      <c r="F29" s="43" t="s">
        <v>17</v>
      </c>
      <c r="G29" s="43" t="s">
        <v>13</v>
      </c>
      <c r="H29" s="55" t="s">
        <v>13</v>
      </c>
    </row>
    <row r="30" ht="19.5" customHeight="1" spans="1:8">
      <c r="A30" s="42"/>
      <c r="B30" s="40">
        <v>52</v>
      </c>
      <c r="C30" s="40" t="str">
        <f t="shared" si="0"/>
        <v>0x34</v>
      </c>
      <c r="D30" s="41" t="s">
        <v>62</v>
      </c>
      <c r="E30" s="40" t="s">
        <v>16</v>
      </c>
      <c r="F30" s="40" t="s">
        <v>17</v>
      </c>
      <c r="G30" s="40" t="s">
        <v>13</v>
      </c>
      <c r="H30" s="54" t="s">
        <v>13</v>
      </c>
    </row>
    <row r="31" s="31" customFormat="1" ht="19.5" customHeight="1" spans="1:8">
      <c r="A31" s="42"/>
      <c r="B31" s="43">
        <v>53</v>
      </c>
      <c r="C31" s="43" t="str">
        <f t="shared" si="0"/>
        <v>0x35</v>
      </c>
      <c r="D31" s="44" t="s">
        <v>63</v>
      </c>
      <c r="E31" s="43" t="s">
        <v>16</v>
      </c>
      <c r="F31" s="43" t="s">
        <v>17</v>
      </c>
      <c r="G31" s="43" t="s">
        <v>19</v>
      </c>
      <c r="H31" s="55" t="s">
        <v>64</v>
      </c>
    </row>
    <row r="32" ht="19.5" customHeight="1" spans="1:8">
      <c r="A32" s="42"/>
      <c r="B32" s="40">
        <v>54</v>
      </c>
      <c r="C32" s="40" t="str">
        <f t="shared" si="0"/>
        <v>0x36</v>
      </c>
      <c r="D32" s="41" t="s">
        <v>65</v>
      </c>
      <c r="E32" s="40" t="s">
        <v>16</v>
      </c>
      <c r="F32" s="40" t="s">
        <v>17</v>
      </c>
      <c r="G32" s="40" t="s">
        <v>19</v>
      </c>
      <c r="H32" s="54" t="s">
        <v>64</v>
      </c>
    </row>
    <row r="33" ht="19.5" customHeight="1" spans="1:8">
      <c r="A33" s="42"/>
      <c r="B33" s="43">
        <v>55</v>
      </c>
      <c r="C33" s="43" t="str">
        <f t="shared" si="0"/>
        <v>0x37</v>
      </c>
      <c r="D33" s="44" t="s">
        <v>66</v>
      </c>
      <c r="E33" s="43" t="s">
        <v>16</v>
      </c>
      <c r="F33" s="43" t="s">
        <v>17</v>
      </c>
      <c r="G33" s="43" t="s">
        <v>19</v>
      </c>
      <c r="H33" s="55" t="s">
        <v>67</v>
      </c>
    </row>
    <row r="34" ht="19.5" customHeight="1" spans="1:8">
      <c r="A34" s="42"/>
      <c r="B34" s="40">
        <v>57</v>
      </c>
      <c r="C34" s="40" t="str">
        <f t="shared" si="0"/>
        <v>0x39</v>
      </c>
      <c r="D34" s="41" t="s">
        <v>68</v>
      </c>
      <c r="E34" s="40" t="s">
        <v>16</v>
      </c>
      <c r="F34" s="40" t="s">
        <v>17</v>
      </c>
      <c r="G34" s="40" t="s">
        <v>28</v>
      </c>
      <c r="H34" s="54" t="s">
        <v>69</v>
      </c>
    </row>
    <row r="35" ht="19.5" customHeight="1" spans="1:8">
      <c r="A35" s="42"/>
      <c r="B35" s="40">
        <v>59</v>
      </c>
      <c r="C35" s="40" t="str">
        <f t="shared" si="0"/>
        <v>0x3B</v>
      </c>
      <c r="D35" s="41" t="s">
        <v>70</v>
      </c>
      <c r="E35" s="43" t="s">
        <v>16</v>
      </c>
      <c r="F35" s="43" t="s">
        <v>17</v>
      </c>
      <c r="G35" s="40" t="s">
        <v>71</v>
      </c>
      <c r="H35" s="54"/>
    </row>
    <row r="36" ht="19.5" customHeight="1" spans="1:8">
      <c r="A36" s="42"/>
      <c r="B36" s="40">
        <v>60</v>
      </c>
      <c r="C36" s="40" t="str">
        <f t="shared" si="0"/>
        <v>0x3C</v>
      </c>
      <c r="D36" s="41" t="s">
        <v>72</v>
      </c>
      <c r="E36" s="40" t="s">
        <v>16</v>
      </c>
      <c r="F36" s="40" t="s">
        <v>17</v>
      </c>
      <c r="G36" s="40" t="s">
        <v>73</v>
      </c>
      <c r="H36" s="54"/>
    </row>
    <row r="37" ht="19.5" customHeight="1" spans="1:8">
      <c r="A37" s="42"/>
      <c r="B37" s="43">
        <v>65</v>
      </c>
      <c r="C37" s="43" t="str">
        <f t="shared" si="0"/>
        <v>0x41</v>
      </c>
      <c r="D37" s="44" t="s">
        <v>74</v>
      </c>
      <c r="E37" s="43" t="s">
        <v>75</v>
      </c>
      <c r="F37" s="43" t="s">
        <v>76</v>
      </c>
      <c r="G37" s="43" t="s">
        <v>76</v>
      </c>
      <c r="H37" s="55" t="s">
        <v>77</v>
      </c>
    </row>
    <row r="38" ht="19.5" customHeight="1" spans="1:8">
      <c r="A38" s="42"/>
      <c r="B38" s="40">
        <v>84</v>
      </c>
      <c r="C38" s="40" t="str">
        <f t="shared" si="0"/>
        <v>0x54</v>
      </c>
      <c r="D38" s="45" t="s">
        <v>78</v>
      </c>
      <c r="E38" s="40" t="s">
        <v>16</v>
      </c>
      <c r="F38" s="40" t="s">
        <v>17</v>
      </c>
      <c r="G38" s="40" t="s">
        <v>28</v>
      </c>
      <c r="H38" s="54" t="s">
        <v>79</v>
      </c>
    </row>
    <row r="39" ht="19.5" customHeight="1" spans="1:8">
      <c r="A39" s="42"/>
      <c r="B39" s="40">
        <v>133</v>
      </c>
      <c r="C39" s="43" t="s">
        <v>80</v>
      </c>
      <c r="D39" s="41" t="s">
        <v>81</v>
      </c>
      <c r="E39" s="43" t="s">
        <v>16</v>
      </c>
      <c r="F39" s="40" t="s">
        <v>17</v>
      </c>
      <c r="G39" s="43" t="s">
        <v>13</v>
      </c>
      <c r="H39" s="54"/>
    </row>
    <row r="40" s="32" customFormat="1" ht="19.5" customHeight="1" spans="1:8">
      <c r="A40" s="42"/>
      <c r="B40" s="40">
        <v>134</v>
      </c>
      <c r="C40" s="40" t="s">
        <v>82</v>
      </c>
      <c r="D40" s="41" t="s">
        <v>83</v>
      </c>
      <c r="E40" s="40" t="s">
        <v>16</v>
      </c>
      <c r="F40" s="40" t="s">
        <v>17</v>
      </c>
      <c r="G40" s="40" t="s">
        <v>13</v>
      </c>
      <c r="H40" s="55"/>
    </row>
    <row r="41" s="32" customFormat="1" ht="19.5" customHeight="1" spans="1:8">
      <c r="A41" s="42"/>
      <c r="B41" s="43">
        <v>100</v>
      </c>
      <c r="C41" s="43" t="str">
        <f t="shared" ref="C41:C48" si="1">"0x"&amp;DEC2HEX(B41,2)</f>
        <v>0x64</v>
      </c>
      <c r="D41" s="44" t="s">
        <v>84</v>
      </c>
      <c r="E41" s="43" t="s">
        <v>16</v>
      </c>
      <c r="F41" s="43" t="s">
        <v>17</v>
      </c>
      <c r="G41" s="43" t="s">
        <v>13</v>
      </c>
      <c r="H41" s="55" t="s">
        <v>85</v>
      </c>
    </row>
    <row r="42" s="31" customFormat="1" ht="19.5" customHeight="1" spans="1:8">
      <c r="A42" s="42"/>
      <c r="B42" s="40">
        <v>101</v>
      </c>
      <c r="C42" s="40" t="str">
        <f t="shared" si="1"/>
        <v>0x65</v>
      </c>
      <c r="D42" s="41" t="s">
        <v>86</v>
      </c>
      <c r="E42" s="40" t="s">
        <v>16</v>
      </c>
      <c r="F42" s="40" t="s">
        <v>17</v>
      </c>
      <c r="G42" s="40" t="s">
        <v>13</v>
      </c>
      <c r="H42" s="54" t="s">
        <v>87</v>
      </c>
    </row>
    <row r="43" ht="19.5" customHeight="1" spans="1:8">
      <c r="A43" s="42"/>
      <c r="B43" s="43">
        <v>102</v>
      </c>
      <c r="C43" s="43" t="str">
        <f t="shared" si="1"/>
        <v>0x66</v>
      </c>
      <c r="D43" s="44" t="s">
        <v>88</v>
      </c>
      <c r="E43" s="43" t="s">
        <v>16</v>
      </c>
      <c r="F43" s="43" t="s">
        <v>17</v>
      </c>
      <c r="G43" s="43" t="s">
        <v>13</v>
      </c>
      <c r="H43" s="55" t="s">
        <v>89</v>
      </c>
    </row>
    <row r="44" ht="19.5" customHeight="1" spans="1:8">
      <c r="A44" s="42"/>
      <c r="B44" s="40">
        <v>111</v>
      </c>
      <c r="C44" s="40" t="str">
        <f t="shared" si="1"/>
        <v>0x6F</v>
      </c>
      <c r="D44" s="41" t="s">
        <v>68</v>
      </c>
      <c r="E44" s="40" t="s">
        <v>16</v>
      </c>
      <c r="F44" s="40" t="s">
        <v>17</v>
      </c>
      <c r="G44" s="40" t="s">
        <v>28</v>
      </c>
      <c r="H44" s="54" t="s">
        <v>69</v>
      </c>
    </row>
    <row r="45" ht="19.5" customHeight="1" spans="1:8">
      <c r="A45" s="42"/>
      <c r="B45" s="40">
        <v>112</v>
      </c>
      <c r="C45" s="40" t="str">
        <f t="shared" si="1"/>
        <v>0x70</v>
      </c>
      <c r="D45" s="44" t="s">
        <v>90</v>
      </c>
      <c r="E45" s="40" t="s">
        <v>16</v>
      </c>
      <c r="F45" s="43" t="s">
        <v>17</v>
      </c>
      <c r="G45" s="43" t="s">
        <v>13</v>
      </c>
      <c r="H45" s="55" t="s">
        <v>91</v>
      </c>
    </row>
    <row r="46" ht="19.5" customHeight="1" spans="1:8">
      <c r="A46" s="42"/>
      <c r="B46" s="40">
        <v>113</v>
      </c>
      <c r="C46" s="40" t="str">
        <f t="shared" si="1"/>
        <v>0x71</v>
      </c>
      <c r="D46" s="44" t="s">
        <v>92</v>
      </c>
      <c r="E46" s="40" t="s">
        <v>16</v>
      </c>
      <c r="F46" s="43" t="s">
        <v>17</v>
      </c>
      <c r="G46" s="43" t="s">
        <v>13</v>
      </c>
      <c r="H46" s="55" t="s">
        <v>93</v>
      </c>
    </row>
    <row r="47" ht="19.5" customHeight="1" spans="1:8">
      <c r="A47" s="42"/>
      <c r="B47" s="43">
        <v>120</v>
      </c>
      <c r="C47" s="43" t="str">
        <f t="shared" si="1"/>
        <v>0x78</v>
      </c>
      <c r="D47" s="44" t="s">
        <v>94</v>
      </c>
      <c r="E47" s="43" t="s">
        <v>16</v>
      </c>
      <c r="F47" s="43" t="s">
        <v>17</v>
      </c>
      <c r="G47" s="43" t="s">
        <v>45</v>
      </c>
      <c r="H47" s="55" t="s">
        <v>95</v>
      </c>
    </row>
    <row r="48" ht="19.5" customHeight="1" spans="1:8">
      <c r="A48" s="42"/>
      <c r="B48" s="40">
        <v>121</v>
      </c>
      <c r="C48" s="43" t="str">
        <f t="shared" si="1"/>
        <v>0x79</v>
      </c>
      <c r="D48" s="41" t="s">
        <v>96</v>
      </c>
      <c r="E48" s="43" t="s">
        <v>16</v>
      </c>
      <c r="F48" s="43" t="s">
        <v>17</v>
      </c>
      <c r="G48" s="40" t="s">
        <v>13</v>
      </c>
      <c r="H48" s="55" t="s">
        <v>13</v>
      </c>
    </row>
    <row r="49" ht="19.5" customHeight="1" spans="1:8">
      <c r="A49" s="42"/>
      <c r="B49" s="43">
        <v>133</v>
      </c>
      <c r="C49" s="43" t="str">
        <f t="shared" ref="C49:C60" si="2">"0x"&amp;DEC2HEX(B49,2)</f>
        <v>0x85</v>
      </c>
      <c r="D49" s="44" t="s">
        <v>97</v>
      </c>
      <c r="E49" s="43" t="s">
        <v>16</v>
      </c>
      <c r="F49" s="43" t="s">
        <v>17</v>
      </c>
      <c r="G49" s="43" t="s">
        <v>13</v>
      </c>
      <c r="H49" s="55" t="s">
        <v>13</v>
      </c>
    </row>
    <row r="50" ht="19.5" customHeight="1" spans="1:8">
      <c r="A50" s="42"/>
      <c r="B50" s="40">
        <v>134</v>
      </c>
      <c r="C50" s="40" t="str">
        <f t="shared" si="2"/>
        <v>0x86</v>
      </c>
      <c r="D50" s="41" t="s">
        <v>98</v>
      </c>
      <c r="E50" s="40" t="s">
        <v>16</v>
      </c>
      <c r="F50" s="40" t="s">
        <v>17</v>
      </c>
      <c r="G50" s="40" t="s">
        <v>13</v>
      </c>
      <c r="H50" s="54" t="s">
        <v>13</v>
      </c>
    </row>
    <row r="51" ht="19.5" customHeight="1" spans="1:8">
      <c r="A51" s="42"/>
      <c r="B51" s="43">
        <v>138</v>
      </c>
      <c r="C51" s="43" t="str">
        <f t="shared" si="2"/>
        <v>0x8A</v>
      </c>
      <c r="D51" s="44" t="s">
        <v>99</v>
      </c>
      <c r="E51" s="43" t="s">
        <v>16</v>
      </c>
      <c r="F51" s="43" t="s">
        <v>17</v>
      </c>
      <c r="G51" s="43" t="s">
        <v>45</v>
      </c>
      <c r="H51" s="55" t="s">
        <v>100</v>
      </c>
    </row>
    <row r="52" ht="19.5" customHeight="1" spans="1:8">
      <c r="A52" s="42"/>
      <c r="B52" s="40">
        <v>139</v>
      </c>
      <c r="C52" s="40" t="str">
        <f t="shared" si="2"/>
        <v>0x8B</v>
      </c>
      <c r="D52" s="41" t="s">
        <v>101</v>
      </c>
      <c r="E52" s="40" t="s">
        <v>16</v>
      </c>
      <c r="F52" s="40" t="s">
        <v>17</v>
      </c>
      <c r="G52" s="40" t="s">
        <v>45</v>
      </c>
      <c r="H52" s="54" t="s">
        <v>13</v>
      </c>
    </row>
    <row r="53" s="33" customFormat="1" ht="19.5" customHeight="1" spans="1:8">
      <c r="A53" s="42"/>
      <c r="B53" s="43">
        <v>140</v>
      </c>
      <c r="C53" s="43" t="str">
        <f t="shared" si="2"/>
        <v>0x8C</v>
      </c>
      <c r="D53" s="44" t="s">
        <v>102</v>
      </c>
      <c r="E53" s="43" t="s">
        <v>16</v>
      </c>
      <c r="F53" s="43" t="s">
        <v>17</v>
      </c>
      <c r="G53" s="43" t="s">
        <v>45</v>
      </c>
      <c r="H53" s="55" t="s">
        <v>100</v>
      </c>
    </row>
    <row r="54" s="33" customFormat="1" ht="19.5" customHeight="1" spans="1:8">
      <c r="A54" s="42"/>
      <c r="B54" s="40">
        <v>143</v>
      </c>
      <c r="C54" s="40" t="str">
        <f t="shared" si="2"/>
        <v>0x8F</v>
      </c>
      <c r="D54" s="41" t="s">
        <v>103</v>
      </c>
      <c r="E54" s="40" t="s">
        <v>16</v>
      </c>
      <c r="F54" s="40" t="s">
        <v>17</v>
      </c>
      <c r="G54" s="40" t="s">
        <v>59</v>
      </c>
      <c r="H54" s="54" t="s">
        <v>104</v>
      </c>
    </row>
    <row r="55" s="33" customFormat="1" ht="19.5" customHeight="1" spans="1:8">
      <c r="A55" s="42"/>
      <c r="B55" s="43">
        <v>147</v>
      </c>
      <c r="C55" s="43" t="str">
        <f t="shared" si="2"/>
        <v>0x93</v>
      </c>
      <c r="D55" s="44" t="s">
        <v>105</v>
      </c>
      <c r="E55" s="43" t="s">
        <v>16</v>
      </c>
      <c r="F55" s="43" t="s">
        <v>17</v>
      </c>
      <c r="G55" s="43" t="s">
        <v>59</v>
      </c>
      <c r="H55" s="55" t="s">
        <v>104</v>
      </c>
    </row>
    <row r="56" s="33" customFormat="1" ht="19.5" customHeight="1" spans="1:8">
      <c r="A56" s="42"/>
      <c r="B56" s="40">
        <v>148</v>
      </c>
      <c r="C56" s="40" t="str">
        <f t="shared" si="2"/>
        <v>0x94</v>
      </c>
      <c r="D56" s="41" t="s">
        <v>106</v>
      </c>
      <c r="E56" s="40" t="s">
        <v>16</v>
      </c>
      <c r="F56" s="40" t="s">
        <v>17</v>
      </c>
      <c r="G56" s="40" t="s">
        <v>28</v>
      </c>
      <c r="H56" s="54" t="s">
        <v>13</v>
      </c>
    </row>
    <row r="57" s="33" customFormat="1" ht="19.5" customHeight="1" spans="1:8">
      <c r="A57" s="42"/>
      <c r="B57" s="43">
        <v>149</v>
      </c>
      <c r="C57" s="43" t="str">
        <f t="shared" si="2"/>
        <v>0x95</v>
      </c>
      <c r="D57" s="44" t="s">
        <v>107</v>
      </c>
      <c r="E57" s="43" t="s">
        <v>16</v>
      </c>
      <c r="F57" s="43" t="s">
        <v>17</v>
      </c>
      <c r="G57" s="43" t="s">
        <v>13</v>
      </c>
      <c r="H57" s="55" t="s">
        <v>13</v>
      </c>
    </row>
    <row r="58" s="33" customFormat="1" ht="19.5" customHeight="1" spans="1:8">
      <c r="A58" s="42"/>
      <c r="B58" s="40">
        <v>150</v>
      </c>
      <c r="C58" s="40" t="str">
        <f t="shared" si="2"/>
        <v>0x96</v>
      </c>
      <c r="D58" s="41" t="s">
        <v>108</v>
      </c>
      <c r="E58" s="40" t="s">
        <v>16</v>
      </c>
      <c r="F58" s="40" t="s">
        <v>17</v>
      </c>
      <c r="G58" s="40" t="s">
        <v>28</v>
      </c>
      <c r="H58" s="54" t="s">
        <v>13</v>
      </c>
    </row>
    <row r="59" s="33" customFormat="1" ht="19.5" customHeight="1" spans="1:8">
      <c r="A59" s="42"/>
      <c r="B59" s="43">
        <v>151</v>
      </c>
      <c r="C59" s="43" t="str">
        <f t="shared" si="2"/>
        <v>0x97</v>
      </c>
      <c r="D59" s="44" t="s">
        <v>109</v>
      </c>
      <c r="E59" s="43" t="s">
        <v>16</v>
      </c>
      <c r="F59" s="43" t="s">
        <v>17</v>
      </c>
      <c r="G59" s="43" t="s">
        <v>13</v>
      </c>
      <c r="H59" s="55" t="s">
        <v>13</v>
      </c>
    </row>
    <row r="60" s="33" customFormat="1" ht="19.5" customHeight="1" spans="1:8">
      <c r="A60" s="46"/>
      <c r="B60" s="40">
        <v>211</v>
      </c>
      <c r="C60" s="40" t="str">
        <f t="shared" si="2"/>
        <v>0xD3</v>
      </c>
      <c r="D60" s="41" t="s">
        <v>110</v>
      </c>
      <c r="E60" s="40" t="s">
        <v>11</v>
      </c>
      <c r="F60" s="40" t="s">
        <v>111</v>
      </c>
      <c r="G60" s="40" t="s">
        <v>13</v>
      </c>
      <c r="H60" s="54" t="s">
        <v>112</v>
      </c>
    </row>
    <row r="61" s="33" customFormat="1" ht="19.5" customHeight="1" spans="1:8">
      <c r="A61" s="47" t="s">
        <v>113</v>
      </c>
      <c r="B61" s="43" t="s">
        <v>13</v>
      </c>
      <c r="C61" s="43" t="s">
        <v>13</v>
      </c>
      <c r="D61" s="44" t="s">
        <v>13</v>
      </c>
      <c r="E61" s="43" t="s">
        <v>13</v>
      </c>
      <c r="F61" s="43" t="s">
        <v>13</v>
      </c>
      <c r="G61" s="43" t="s">
        <v>13</v>
      </c>
      <c r="H61" s="55" t="s">
        <v>13</v>
      </c>
    </row>
    <row r="62" s="33" customFormat="1" ht="19.5" customHeight="1" spans="1:8">
      <c r="A62" s="47" t="s">
        <v>114</v>
      </c>
      <c r="B62" s="40" t="s">
        <v>13</v>
      </c>
      <c r="C62" s="40" t="s">
        <v>13</v>
      </c>
      <c r="D62" s="41" t="s">
        <v>13</v>
      </c>
      <c r="E62" s="40" t="s">
        <v>13</v>
      </c>
      <c r="F62" s="40" t="s">
        <v>13</v>
      </c>
      <c r="G62" s="40" t="s">
        <v>13</v>
      </c>
      <c r="H62" s="54" t="s">
        <v>13</v>
      </c>
    </row>
    <row r="63" s="33" customFormat="1" ht="19.5" customHeight="1" spans="1:8">
      <c r="A63" s="39" t="s">
        <v>115</v>
      </c>
      <c r="B63" s="43" t="s">
        <v>13</v>
      </c>
      <c r="C63" s="43" t="s">
        <v>13</v>
      </c>
      <c r="D63" s="44" t="s">
        <v>13</v>
      </c>
      <c r="E63" s="43" t="s">
        <v>13</v>
      </c>
      <c r="F63" s="43" t="s">
        <v>13</v>
      </c>
      <c r="G63" s="43" t="s">
        <v>13</v>
      </c>
      <c r="H63" s="55" t="s">
        <v>13</v>
      </c>
    </row>
    <row r="64" s="33" customFormat="1" ht="19.5" customHeight="1" spans="1:8">
      <c r="A64" s="48" t="s">
        <v>16</v>
      </c>
      <c r="B64" s="49">
        <v>2</v>
      </c>
      <c r="C64" s="49" t="str">
        <f t="shared" ref="C64:C82" si="3">"0x"&amp;DEC2HEX(B64,2)</f>
        <v>0x02</v>
      </c>
      <c r="D64" s="45" t="s">
        <v>116</v>
      </c>
      <c r="E64" s="49" t="s">
        <v>13</v>
      </c>
      <c r="F64" s="49" t="s">
        <v>17</v>
      </c>
      <c r="G64" s="49" t="s">
        <v>117</v>
      </c>
      <c r="H64" s="56" t="s">
        <v>118</v>
      </c>
    </row>
    <row r="65" ht="19.5" customHeight="1" spans="1:8">
      <c r="A65" s="64"/>
      <c r="B65" s="43">
        <v>28</v>
      </c>
      <c r="C65" s="43" t="str">
        <f t="shared" si="3"/>
        <v>0x1C</v>
      </c>
      <c r="D65" s="44" t="s">
        <v>119</v>
      </c>
      <c r="E65" s="43" t="s">
        <v>13</v>
      </c>
      <c r="F65" s="43" t="s">
        <v>17</v>
      </c>
      <c r="G65" s="43" t="s">
        <v>19</v>
      </c>
      <c r="H65" s="55" t="s">
        <v>120</v>
      </c>
    </row>
    <row r="66" ht="19.5" customHeight="1" spans="1:8">
      <c r="A66" s="64"/>
      <c r="B66" s="40">
        <v>29</v>
      </c>
      <c r="C66" s="40" t="str">
        <f t="shared" si="3"/>
        <v>0x1D</v>
      </c>
      <c r="D66" s="41" t="s">
        <v>121</v>
      </c>
      <c r="E66" s="40" t="s">
        <v>13</v>
      </c>
      <c r="F66" s="40" t="s">
        <v>17</v>
      </c>
      <c r="G66" s="40" t="s">
        <v>23</v>
      </c>
      <c r="H66" s="54" t="s">
        <v>122</v>
      </c>
    </row>
    <row r="67" ht="19.5" customHeight="1" spans="1:8">
      <c r="A67" s="64"/>
      <c r="B67" s="43">
        <v>30</v>
      </c>
      <c r="C67" s="43" t="str">
        <f t="shared" si="3"/>
        <v>0x1E</v>
      </c>
      <c r="D67" s="44" t="s">
        <v>123</v>
      </c>
      <c r="E67" s="43" t="s">
        <v>13</v>
      </c>
      <c r="F67" s="43" t="s">
        <v>17</v>
      </c>
      <c r="G67" s="43" t="s">
        <v>28</v>
      </c>
      <c r="H67" s="55" t="s">
        <v>124</v>
      </c>
    </row>
    <row r="68" ht="19.5" customHeight="1" spans="1:8">
      <c r="A68" s="64"/>
      <c r="B68" s="40">
        <v>32</v>
      </c>
      <c r="C68" s="40" t="str">
        <f t="shared" si="3"/>
        <v>0x20</v>
      </c>
      <c r="D68" s="41" t="s">
        <v>125</v>
      </c>
      <c r="E68" s="40" t="s">
        <v>13</v>
      </c>
      <c r="F68" s="40" t="s">
        <v>17</v>
      </c>
      <c r="G68" s="40" t="s">
        <v>19</v>
      </c>
      <c r="H68" s="54" t="s">
        <v>13</v>
      </c>
    </row>
    <row r="69" ht="19.5" customHeight="1" spans="1:8">
      <c r="A69" s="64"/>
      <c r="B69" s="43">
        <v>33</v>
      </c>
      <c r="C69" s="43" t="str">
        <f t="shared" si="3"/>
        <v>0x21</v>
      </c>
      <c r="D69" s="44" t="s">
        <v>126</v>
      </c>
      <c r="E69" s="43" t="s">
        <v>13</v>
      </c>
      <c r="F69" s="43" t="s">
        <v>17</v>
      </c>
      <c r="G69" s="43" t="s">
        <v>19</v>
      </c>
      <c r="H69" s="55" t="s">
        <v>13</v>
      </c>
    </row>
    <row r="70" s="31" customFormat="1" ht="19.5" customHeight="1" spans="1:8">
      <c r="A70" s="64"/>
      <c r="B70" s="40">
        <v>34</v>
      </c>
      <c r="C70" s="40" t="str">
        <f t="shared" si="3"/>
        <v>0x22</v>
      </c>
      <c r="D70" s="41" t="s">
        <v>127</v>
      </c>
      <c r="E70" s="40" t="s">
        <v>13</v>
      </c>
      <c r="F70" s="40" t="s">
        <v>17</v>
      </c>
      <c r="G70" s="40" t="s">
        <v>48</v>
      </c>
      <c r="H70" s="54" t="s">
        <v>128</v>
      </c>
    </row>
    <row r="71" ht="19.5" customHeight="1" spans="1:8">
      <c r="A71" s="64"/>
      <c r="B71" s="43">
        <v>35</v>
      </c>
      <c r="C71" s="43" t="str">
        <f t="shared" si="3"/>
        <v>0x23</v>
      </c>
      <c r="D71" s="44" t="s">
        <v>129</v>
      </c>
      <c r="E71" s="43" t="s">
        <v>13</v>
      </c>
      <c r="F71" s="43" t="s">
        <v>17</v>
      </c>
      <c r="G71" s="43" t="s">
        <v>48</v>
      </c>
      <c r="H71" s="55" t="s">
        <v>130</v>
      </c>
    </row>
    <row r="72" ht="19.5" customHeight="1" spans="1:8">
      <c r="A72" s="64"/>
      <c r="B72" s="40">
        <v>36</v>
      </c>
      <c r="C72" s="40" t="str">
        <f t="shared" si="3"/>
        <v>0x24</v>
      </c>
      <c r="D72" s="41" t="s">
        <v>131</v>
      </c>
      <c r="E72" s="40" t="s">
        <v>13</v>
      </c>
      <c r="F72" s="40" t="s">
        <v>17</v>
      </c>
      <c r="G72" s="40" t="s">
        <v>23</v>
      </c>
      <c r="H72" s="54" t="s">
        <v>132</v>
      </c>
    </row>
    <row r="73" ht="19.5" customHeight="1" spans="1:8">
      <c r="A73" s="64"/>
      <c r="B73" s="43">
        <v>37</v>
      </c>
      <c r="C73" s="43" t="str">
        <f t="shared" si="3"/>
        <v>0x25</v>
      </c>
      <c r="D73" s="44" t="s">
        <v>133</v>
      </c>
      <c r="E73" s="43" t="s">
        <v>13</v>
      </c>
      <c r="F73" s="43" t="s">
        <v>17</v>
      </c>
      <c r="G73" s="43" t="s">
        <v>23</v>
      </c>
      <c r="H73" s="55" t="s">
        <v>132</v>
      </c>
    </row>
    <row r="74" ht="19.5" customHeight="1" spans="1:8">
      <c r="A74" s="64"/>
      <c r="B74" s="40">
        <v>38</v>
      </c>
      <c r="C74" s="40" t="str">
        <f t="shared" si="3"/>
        <v>0x26</v>
      </c>
      <c r="D74" s="41" t="s">
        <v>134</v>
      </c>
      <c r="E74" s="40" t="s">
        <v>13</v>
      </c>
      <c r="F74" s="40" t="s">
        <v>17</v>
      </c>
      <c r="G74" s="40" t="s">
        <v>28</v>
      </c>
      <c r="H74" s="54" t="s">
        <v>135</v>
      </c>
    </row>
    <row r="75" ht="19.5" customHeight="1" spans="1:8">
      <c r="A75" s="64"/>
      <c r="B75" s="43">
        <v>39</v>
      </c>
      <c r="C75" s="43" t="str">
        <f t="shared" si="3"/>
        <v>0x27</v>
      </c>
      <c r="D75" s="44" t="s">
        <v>136</v>
      </c>
      <c r="E75" s="43" t="s">
        <v>13</v>
      </c>
      <c r="F75" s="43" t="s">
        <v>17</v>
      </c>
      <c r="G75" s="43" t="s">
        <v>28</v>
      </c>
      <c r="H75" s="55" t="s">
        <v>135</v>
      </c>
    </row>
    <row r="76" ht="19.5" customHeight="1" spans="1:8">
      <c r="A76" s="64"/>
      <c r="B76" s="40">
        <v>41</v>
      </c>
      <c r="C76" s="40" t="str">
        <f t="shared" si="3"/>
        <v>0x29</v>
      </c>
      <c r="D76" s="41" t="s">
        <v>137</v>
      </c>
      <c r="E76" s="40" t="s">
        <v>13</v>
      </c>
      <c r="F76" s="40" t="s">
        <v>17</v>
      </c>
      <c r="G76" s="40" t="s">
        <v>13</v>
      </c>
      <c r="H76" s="54" t="s">
        <v>13</v>
      </c>
    </row>
    <row r="77" ht="19.5" customHeight="1" spans="1:8">
      <c r="A77" s="64"/>
      <c r="B77" s="43">
        <v>42</v>
      </c>
      <c r="C77" s="43" t="str">
        <f t="shared" si="3"/>
        <v>0x2A</v>
      </c>
      <c r="D77" s="44" t="s">
        <v>138</v>
      </c>
      <c r="E77" s="43" t="s">
        <v>13</v>
      </c>
      <c r="F77" s="43" t="s">
        <v>17</v>
      </c>
      <c r="G77" s="43" t="s">
        <v>13</v>
      </c>
      <c r="H77" s="55" t="s">
        <v>13</v>
      </c>
    </row>
    <row r="78" ht="19.5" customHeight="1" spans="1:8">
      <c r="A78" s="64"/>
      <c r="B78" s="40">
        <v>43</v>
      </c>
      <c r="C78" s="40" t="str">
        <f t="shared" si="3"/>
        <v>0x2B</v>
      </c>
      <c r="D78" s="41" t="s">
        <v>139</v>
      </c>
      <c r="E78" s="40" t="s">
        <v>13</v>
      </c>
      <c r="F78" s="40" t="s">
        <v>17</v>
      </c>
      <c r="G78" s="40" t="s">
        <v>13</v>
      </c>
      <c r="H78" s="54" t="s">
        <v>140</v>
      </c>
    </row>
    <row r="79" ht="19.5" customHeight="1" spans="1:8">
      <c r="A79" s="64"/>
      <c r="B79" s="43">
        <v>44</v>
      </c>
      <c r="C79" s="43" t="str">
        <f t="shared" si="3"/>
        <v>0x2C</v>
      </c>
      <c r="D79" s="44" t="s">
        <v>141</v>
      </c>
      <c r="E79" s="43" t="s">
        <v>13</v>
      </c>
      <c r="F79" s="43" t="s">
        <v>17</v>
      </c>
      <c r="G79" s="43" t="s">
        <v>13</v>
      </c>
      <c r="H79" s="55" t="s">
        <v>13</v>
      </c>
    </row>
    <row r="80" ht="19.5" customHeight="1" spans="1:8">
      <c r="A80" s="64"/>
      <c r="B80" s="40">
        <v>45</v>
      </c>
      <c r="C80" s="40" t="str">
        <f t="shared" si="3"/>
        <v>0x2D</v>
      </c>
      <c r="D80" s="41" t="s">
        <v>142</v>
      </c>
      <c r="E80" s="40" t="s">
        <v>13</v>
      </c>
      <c r="F80" s="40" t="s">
        <v>17</v>
      </c>
      <c r="G80" s="40" t="s">
        <v>13</v>
      </c>
      <c r="H80" s="54" t="s">
        <v>140</v>
      </c>
    </row>
    <row r="81" ht="19.5" customHeight="1" spans="1:8">
      <c r="A81" s="64"/>
      <c r="B81" s="43">
        <v>46</v>
      </c>
      <c r="C81" s="43" t="str">
        <f t="shared" si="3"/>
        <v>0x2E</v>
      </c>
      <c r="D81" s="44" t="s">
        <v>143</v>
      </c>
      <c r="E81" s="43" t="s">
        <v>13</v>
      </c>
      <c r="F81" s="43" t="s">
        <v>17</v>
      </c>
      <c r="G81" s="43" t="s">
        <v>13</v>
      </c>
      <c r="H81" s="55" t="s">
        <v>144</v>
      </c>
    </row>
    <row r="82" ht="19.5" customHeight="1" spans="1:8">
      <c r="A82" s="64"/>
      <c r="B82" s="40">
        <v>58</v>
      </c>
      <c r="C82" s="40" t="str">
        <f t="shared" si="3"/>
        <v>0x3A</v>
      </c>
      <c r="D82" s="41" t="s">
        <v>145</v>
      </c>
      <c r="E82" s="40" t="s">
        <v>16</v>
      </c>
      <c r="F82" s="40" t="s">
        <v>17</v>
      </c>
      <c r="G82" s="40" t="s">
        <v>28</v>
      </c>
      <c r="H82" s="54" t="s">
        <v>146</v>
      </c>
    </row>
    <row r="83" ht="19.5" customHeight="1" spans="1:8">
      <c r="A83" s="64"/>
      <c r="B83" s="40">
        <v>59</v>
      </c>
      <c r="C83" s="40" t="str">
        <f t="shared" ref="C83:C88" si="4">"0x"&amp;DEC2HEX(B83,2)</f>
        <v>0x3B</v>
      </c>
      <c r="D83" s="41" t="s">
        <v>70</v>
      </c>
      <c r="E83" s="43" t="s">
        <v>16</v>
      </c>
      <c r="F83" s="43" t="s">
        <v>17</v>
      </c>
      <c r="G83" s="40" t="s">
        <v>71</v>
      </c>
      <c r="H83" s="54"/>
    </row>
    <row r="84" ht="19.5" customHeight="1" spans="1:8">
      <c r="A84" s="64"/>
      <c r="B84" s="40">
        <v>60</v>
      </c>
      <c r="C84" s="40" t="str">
        <f t="shared" si="4"/>
        <v>0x3C</v>
      </c>
      <c r="D84" s="41" t="s">
        <v>72</v>
      </c>
      <c r="E84" s="40" t="s">
        <v>16</v>
      </c>
      <c r="F84" s="40" t="s">
        <v>17</v>
      </c>
      <c r="G84" s="40" t="s">
        <v>73</v>
      </c>
      <c r="H84" s="54"/>
    </row>
    <row r="85" ht="19.5" customHeight="1" spans="1:8">
      <c r="A85" s="64"/>
      <c r="B85" s="43">
        <v>63</v>
      </c>
      <c r="C85" s="43" t="str">
        <f t="shared" si="4"/>
        <v>0x3F</v>
      </c>
      <c r="D85" s="44" t="s">
        <v>147</v>
      </c>
      <c r="E85" s="43" t="s">
        <v>13</v>
      </c>
      <c r="F85" s="43" t="s">
        <v>17</v>
      </c>
      <c r="G85" s="43" t="s">
        <v>148</v>
      </c>
      <c r="H85" s="55" t="s">
        <v>149</v>
      </c>
    </row>
    <row r="86" ht="19.5" customHeight="1" spans="1:8">
      <c r="A86" s="64"/>
      <c r="B86" s="40">
        <v>66</v>
      </c>
      <c r="C86" s="40" t="str">
        <f t="shared" si="4"/>
        <v>0x42</v>
      </c>
      <c r="D86" s="41" t="s">
        <v>119</v>
      </c>
      <c r="E86" s="40" t="s">
        <v>75</v>
      </c>
      <c r="F86" s="40" t="s">
        <v>150</v>
      </c>
      <c r="G86" s="40" t="s">
        <v>76</v>
      </c>
      <c r="H86" s="54" t="s">
        <v>151</v>
      </c>
    </row>
    <row r="87" ht="19.5" customHeight="1" spans="1:8">
      <c r="A87" s="64"/>
      <c r="B87" s="43">
        <v>67</v>
      </c>
      <c r="C87" s="43" t="str">
        <f t="shared" si="4"/>
        <v>0x43</v>
      </c>
      <c r="D87" s="44" t="s">
        <v>121</v>
      </c>
      <c r="E87" s="43" t="s">
        <v>75</v>
      </c>
      <c r="F87" s="43" t="s">
        <v>76</v>
      </c>
      <c r="G87" s="43" t="s">
        <v>76</v>
      </c>
      <c r="H87" s="55" t="s">
        <v>152</v>
      </c>
    </row>
    <row r="88" ht="19.5" customHeight="1" spans="1:8">
      <c r="A88" s="64"/>
      <c r="B88" s="40">
        <v>68</v>
      </c>
      <c r="C88" s="40" t="str">
        <f t="shared" si="4"/>
        <v>0x44</v>
      </c>
      <c r="D88" s="41" t="s">
        <v>123</v>
      </c>
      <c r="E88" s="40" t="s">
        <v>75</v>
      </c>
      <c r="F88" s="40" t="s">
        <v>76</v>
      </c>
      <c r="G88" s="40" t="s">
        <v>76</v>
      </c>
      <c r="H88" s="54" t="s">
        <v>153</v>
      </c>
    </row>
    <row r="89" ht="19.5" customHeight="1" spans="1:8">
      <c r="A89" s="64"/>
      <c r="B89" s="43">
        <v>70</v>
      </c>
      <c r="C89" s="43" t="s">
        <v>13</v>
      </c>
      <c r="D89" s="44" t="s">
        <v>154</v>
      </c>
      <c r="E89" s="43" t="s">
        <v>13</v>
      </c>
      <c r="F89" s="43" t="s">
        <v>13</v>
      </c>
      <c r="G89" s="43" t="s">
        <v>13</v>
      </c>
      <c r="H89" s="55" t="s">
        <v>13</v>
      </c>
    </row>
    <row r="90" s="34" customFormat="1" ht="19.5" customHeight="1" spans="1:8">
      <c r="A90" s="64"/>
      <c r="B90" s="40">
        <v>71</v>
      </c>
      <c r="C90" s="40" t="str">
        <f>"0x"&amp;DEC2HEX(B90,2)</f>
        <v>0x47</v>
      </c>
      <c r="D90" s="41" t="s">
        <v>155</v>
      </c>
      <c r="E90" s="40" t="s">
        <v>13</v>
      </c>
      <c r="F90" s="40" t="s">
        <v>17</v>
      </c>
      <c r="G90" s="40" t="s">
        <v>13</v>
      </c>
      <c r="H90" s="54" t="s">
        <v>156</v>
      </c>
    </row>
    <row r="91" s="31" customFormat="1" ht="19.5" customHeight="1" spans="1:8">
      <c r="A91" s="64"/>
      <c r="B91" s="43">
        <v>80</v>
      </c>
      <c r="C91" s="43" t="s">
        <v>13</v>
      </c>
      <c r="D91" s="44" t="s">
        <v>157</v>
      </c>
      <c r="E91" s="43" t="s">
        <v>13</v>
      </c>
      <c r="F91" s="43" t="s">
        <v>13</v>
      </c>
      <c r="G91" s="43" t="s">
        <v>13</v>
      </c>
      <c r="H91" s="55" t="s">
        <v>13</v>
      </c>
    </row>
    <row r="92" ht="19.5" customHeight="1" spans="1:8">
      <c r="A92" s="64"/>
      <c r="B92" s="40">
        <v>83</v>
      </c>
      <c r="C92" s="40" t="str">
        <f>"0x"&amp;DEC2HEX(B92,2)</f>
        <v>0x53</v>
      </c>
      <c r="D92" s="41" t="s">
        <v>158</v>
      </c>
      <c r="E92" s="40" t="s">
        <v>13</v>
      </c>
      <c r="F92" s="40" t="s">
        <v>17</v>
      </c>
      <c r="G92" s="40" t="s">
        <v>28</v>
      </c>
      <c r="H92" s="54" t="s">
        <v>159</v>
      </c>
    </row>
    <row r="93" ht="19.5" customHeight="1" spans="1:8">
      <c r="A93" s="64"/>
      <c r="B93" s="40">
        <v>85</v>
      </c>
      <c r="C93" s="40" t="str">
        <f t="shared" ref="C93:C105" si="5">"0x"&amp;DEC2HEX(B93,2)</f>
        <v>0x55</v>
      </c>
      <c r="D93" s="41" t="s">
        <v>160</v>
      </c>
      <c r="E93" s="40" t="s">
        <v>13</v>
      </c>
      <c r="F93" s="40" t="s">
        <v>17</v>
      </c>
      <c r="G93" s="40"/>
      <c r="H93" s="54" t="s">
        <v>161</v>
      </c>
    </row>
    <row r="94" ht="19.5" customHeight="1" spans="1:8">
      <c r="A94" s="64"/>
      <c r="B94" s="65">
        <v>89</v>
      </c>
      <c r="C94" s="65" t="str">
        <f t="shared" si="5"/>
        <v>0x59</v>
      </c>
      <c r="D94" s="66" t="s">
        <v>162</v>
      </c>
      <c r="E94" s="65" t="s">
        <v>75</v>
      </c>
      <c r="F94" s="65" t="s">
        <v>76</v>
      </c>
      <c r="G94" s="65" t="s">
        <v>117</v>
      </c>
      <c r="H94" s="72" t="s">
        <v>163</v>
      </c>
    </row>
    <row r="95" ht="19.5" customHeight="1" spans="1:8">
      <c r="A95" s="64"/>
      <c r="B95" s="43">
        <v>90</v>
      </c>
      <c r="C95" s="43" t="str">
        <f t="shared" si="5"/>
        <v>0x5A</v>
      </c>
      <c r="D95" s="44" t="s">
        <v>164</v>
      </c>
      <c r="E95" s="43" t="s">
        <v>13</v>
      </c>
      <c r="F95" s="43" t="s">
        <v>165</v>
      </c>
      <c r="G95" s="43" t="s">
        <v>166</v>
      </c>
      <c r="H95" s="55" t="s">
        <v>167</v>
      </c>
    </row>
    <row r="96" ht="19.5" customHeight="1" spans="1:8">
      <c r="A96" s="64"/>
      <c r="B96" s="43">
        <v>112</v>
      </c>
      <c r="C96" s="43" t="str">
        <f t="shared" si="5"/>
        <v>0x70</v>
      </c>
      <c r="D96" s="44" t="s">
        <v>168</v>
      </c>
      <c r="E96" s="43" t="s">
        <v>13</v>
      </c>
      <c r="F96" s="43" t="s">
        <v>17</v>
      </c>
      <c r="G96" s="43" t="s">
        <v>13</v>
      </c>
      <c r="H96" s="55" t="s">
        <v>91</v>
      </c>
    </row>
    <row r="97" ht="19.5" customHeight="1" spans="1:8">
      <c r="A97" s="64"/>
      <c r="B97" s="67">
        <v>113</v>
      </c>
      <c r="C97" s="67" t="str">
        <f t="shared" si="5"/>
        <v>0x71</v>
      </c>
      <c r="D97" s="44" t="s">
        <v>169</v>
      </c>
      <c r="E97" s="67" t="s">
        <v>13</v>
      </c>
      <c r="F97" s="67" t="s">
        <v>17</v>
      </c>
      <c r="G97" s="67" t="s">
        <v>13</v>
      </c>
      <c r="H97" s="55" t="s">
        <v>170</v>
      </c>
    </row>
    <row r="98" ht="19.5" customHeight="1" spans="1:8">
      <c r="A98" s="64"/>
      <c r="B98" s="67">
        <v>131</v>
      </c>
      <c r="C98" s="67" t="str">
        <f t="shared" si="5"/>
        <v>0x83</v>
      </c>
      <c r="D98" s="44" t="s">
        <v>171</v>
      </c>
      <c r="E98" s="67" t="s">
        <v>13</v>
      </c>
      <c r="F98" s="67" t="s">
        <v>17</v>
      </c>
      <c r="G98" s="67" t="s">
        <v>13</v>
      </c>
      <c r="H98" s="44"/>
    </row>
    <row r="99" ht="19.5" customHeight="1" spans="1:8">
      <c r="A99" s="64"/>
      <c r="B99" s="67">
        <v>132</v>
      </c>
      <c r="C99" s="67" t="str">
        <f t="shared" si="5"/>
        <v>0x84</v>
      </c>
      <c r="D99" s="44" t="s">
        <v>172</v>
      </c>
      <c r="E99" s="67" t="s">
        <v>13</v>
      </c>
      <c r="F99" s="67" t="s">
        <v>17</v>
      </c>
      <c r="G99" s="67" t="s">
        <v>13</v>
      </c>
      <c r="H99" s="44"/>
    </row>
    <row r="100" ht="19.5" customHeight="1" spans="1:8">
      <c r="A100" s="64"/>
      <c r="B100" s="67">
        <v>135</v>
      </c>
      <c r="C100" s="67" t="str">
        <f t="shared" si="5"/>
        <v>0x87</v>
      </c>
      <c r="D100" s="44" t="s">
        <v>173</v>
      </c>
      <c r="E100" s="67" t="s">
        <v>13</v>
      </c>
      <c r="F100" s="67" t="s">
        <v>17</v>
      </c>
      <c r="G100" s="67" t="s">
        <v>45</v>
      </c>
      <c r="H100" s="67" t="s">
        <v>13</v>
      </c>
    </row>
    <row r="101" ht="19.5" customHeight="1" spans="1:8">
      <c r="A101" s="64"/>
      <c r="B101" s="67">
        <v>136</v>
      </c>
      <c r="C101" s="67" t="s">
        <v>174</v>
      </c>
      <c r="D101" s="44" t="s">
        <v>175</v>
      </c>
      <c r="E101" s="67" t="s">
        <v>13</v>
      </c>
      <c r="F101" s="67" t="s">
        <v>17</v>
      </c>
      <c r="G101" s="67" t="s">
        <v>45</v>
      </c>
      <c r="H101" s="67" t="s">
        <v>13</v>
      </c>
    </row>
    <row r="102" ht="19.5" customHeight="1" spans="1:8">
      <c r="A102" s="64"/>
      <c r="B102" s="67">
        <v>137</v>
      </c>
      <c r="C102" s="67" t="str">
        <f t="shared" si="5"/>
        <v>0x89</v>
      </c>
      <c r="D102" s="44" t="s">
        <v>176</v>
      </c>
      <c r="E102" s="67" t="s">
        <v>13</v>
      </c>
      <c r="F102" s="67" t="s">
        <v>17</v>
      </c>
      <c r="G102" s="67" t="s">
        <v>45</v>
      </c>
      <c r="H102" s="67" t="s">
        <v>13</v>
      </c>
    </row>
    <row r="103" ht="19.5" customHeight="1" spans="1:8">
      <c r="A103" s="64"/>
      <c r="B103" s="67">
        <v>141</v>
      </c>
      <c r="C103" s="67" t="str">
        <f t="shared" si="5"/>
        <v>0x8D</v>
      </c>
      <c r="D103" s="44" t="s">
        <v>177</v>
      </c>
      <c r="E103" s="67" t="s">
        <v>13</v>
      </c>
      <c r="F103" s="67" t="s">
        <v>17</v>
      </c>
      <c r="G103" s="67" t="s">
        <v>45</v>
      </c>
      <c r="H103" s="67" t="s">
        <v>13</v>
      </c>
    </row>
    <row r="104" ht="19.5" customHeight="1" spans="1:8">
      <c r="A104" s="64"/>
      <c r="B104" s="43">
        <v>145</v>
      </c>
      <c r="C104" s="43" t="str">
        <f t="shared" si="5"/>
        <v>0x91</v>
      </c>
      <c r="D104" s="44" t="s">
        <v>178</v>
      </c>
      <c r="E104" s="43" t="s">
        <v>13</v>
      </c>
      <c r="F104" s="43" t="s">
        <v>17</v>
      </c>
      <c r="G104" s="43" t="s">
        <v>45</v>
      </c>
      <c r="H104" s="43" t="s">
        <v>13</v>
      </c>
    </row>
    <row r="105" ht="19.5" customHeight="1" spans="1:8">
      <c r="A105" s="68"/>
      <c r="B105" s="40">
        <v>213</v>
      </c>
      <c r="C105" s="40" t="str">
        <f t="shared" si="5"/>
        <v>0xD5</v>
      </c>
      <c r="D105" s="41" t="s">
        <v>179</v>
      </c>
      <c r="E105" s="40" t="s">
        <v>11</v>
      </c>
      <c r="F105" s="40" t="s">
        <v>17</v>
      </c>
      <c r="G105" s="40" t="s">
        <v>180</v>
      </c>
      <c r="H105" s="54" t="s">
        <v>181</v>
      </c>
    </row>
    <row r="106" ht="76.5" customHeight="1" spans="1:8">
      <c r="A106" s="69"/>
      <c r="B106" s="40" t="s">
        <v>182</v>
      </c>
      <c r="C106" s="41" t="s">
        <v>183</v>
      </c>
      <c r="D106" s="41"/>
      <c r="E106" s="40" t="s">
        <v>184</v>
      </c>
      <c r="F106" s="73" t="s">
        <v>185</v>
      </c>
      <c r="G106" s="74"/>
      <c r="H106" s="75"/>
    </row>
    <row r="107" ht="19.5" customHeight="1" spans="1:8">
      <c r="A107" s="42" t="s">
        <v>186</v>
      </c>
      <c r="B107" s="40">
        <v>65</v>
      </c>
      <c r="C107" s="40" t="str">
        <f>"0x"&amp;DEC2HEX(B107,2)</f>
        <v>0x41</v>
      </c>
      <c r="D107" s="41" t="s">
        <v>187</v>
      </c>
      <c r="E107" s="40" t="s">
        <v>186</v>
      </c>
      <c r="F107" s="40" t="s">
        <v>17</v>
      </c>
      <c r="G107" s="40" t="s">
        <v>13</v>
      </c>
      <c r="H107" s="54" t="s">
        <v>188</v>
      </c>
    </row>
    <row r="108" ht="19.5" customHeight="1" spans="1:8">
      <c r="A108" s="42"/>
      <c r="B108" s="43">
        <v>66</v>
      </c>
      <c r="C108" s="43" t="str">
        <f>"0x"&amp;DEC2HEX(B108,2)</f>
        <v>0x42</v>
      </c>
      <c r="D108" s="44" t="s">
        <v>189</v>
      </c>
      <c r="E108" s="43" t="s">
        <v>186</v>
      </c>
      <c r="F108" s="43" t="s">
        <v>165</v>
      </c>
      <c r="G108" s="43" t="s">
        <v>13</v>
      </c>
      <c r="H108" s="55" t="s">
        <v>190</v>
      </c>
    </row>
    <row r="109" ht="19.5" customHeight="1" spans="1:8">
      <c r="A109" s="42"/>
      <c r="B109" s="40">
        <v>67</v>
      </c>
      <c r="C109" s="40" t="str">
        <f>"0x"&amp;DEC2HEX(B109,2)</f>
        <v>0x43</v>
      </c>
      <c r="D109" s="41" t="s">
        <v>191</v>
      </c>
      <c r="E109" s="40" t="s">
        <v>186</v>
      </c>
      <c r="F109" s="40" t="s">
        <v>165</v>
      </c>
      <c r="G109" s="40" t="s">
        <v>13</v>
      </c>
      <c r="H109" s="54" t="s">
        <v>192</v>
      </c>
    </row>
    <row r="110" ht="19.5" customHeight="1" spans="1:8">
      <c r="A110" s="42"/>
      <c r="B110" s="43">
        <v>68</v>
      </c>
      <c r="C110" s="43" t="str">
        <f>"0x"&amp;DEC2HEX(B110,2)</f>
        <v>0x44</v>
      </c>
      <c r="D110" s="44" t="s">
        <v>193</v>
      </c>
      <c r="E110" s="43" t="s">
        <v>186</v>
      </c>
      <c r="F110" s="43" t="s">
        <v>165</v>
      </c>
      <c r="G110" s="43" t="s">
        <v>13</v>
      </c>
      <c r="H110" s="55" t="s">
        <v>194</v>
      </c>
    </row>
    <row r="111" ht="19.5" customHeight="1" spans="1:8">
      <c r="A111" s="42"/>
      <c r="B111" s="43">
        <v>70</v>
      </c>
      <c r="C111" s="43" t="str">
        <f t="shared" ref="C111:C125" si="6">"0x"&amp;DEC2HEX(B111,2)</f>
        <v>0x46</v>
      </c>
      <c r="D111" s="44" t="s">
        <v>195</v>
      </c>
      <c r="E111" s="43" t="s">
        <v>186</v>
      </c>
      <c r="F111" s="43" t="s">
        <v>165</v>
      </c>
      <c r="G111" s="43" t="s">
        <v>13</v>
      </c>
      <c r="H111" s="55" t="s">
        <v>196</v>
      </c>
    </row>
    <row r="112" ht="19.5" customHeight="1" spans="1:8">
      <c r="A112" s="42"/>
      <c r="B112" s="40">
        <v>71</v>
      </c>
      <c r="C112" s="40" t="str">
        <f t="shared" si="6"/>
        <v>0x47</v>
      </c>
      <c r="D112" s="41" t="s">
        <v>197</v>
      </c>
      <c r="E112" s="40" t="s">
        <v>186</v>
      </c>
      <c r="F112" s="40" t="s">
        <v>165</v>
      </c>
      <c r="G112" s="40" t="s">
        <v>13</v>
      </c>
      <c r="H112" s="54" t="s">
        <v>198</v>
      </c>
    </row>
    <row r="113" ht="19.5" customHeight="1" spans="1:8">
      <c r="A113" s="42"/>
      <c r="B113" s="43">
        <v>72</v>
      </c>
      <c r="C113" s="43" t="str">
        <f t="shared" si="6"/>
        <v>0x48</v>
      </c>
      <c r="D113" s="44" t="s">
        <v>199</v>
      </c>
      <c r="E113" s="43" t="s">
        <v>186</v>
      </c>
      <c r="F113" s="43" t="s">
        <v>165</v>
      </c>
      <c r="G113" s="43" t="s">
        <v>13</v>
      </c>
      <c r="H113" s="55" t="s">
        <v>200</v>
      </c>
    </row>
    <row r="114" ht="19.5" customHeight="1" spans="1:8">
      <c r="A114" s="42"/>
      <c r="B114" s="40">
        <v>73</v>
      </c>
      <c r="C114" s="40" t="str">
        <f t="shared" si="6"/>
        <v>0x49</v>
      </c>
      <c r="D114" s="41" t="s">
        <v>199</v>
      </c>
      <c r="E114" s="40" t="s">
        <v>186</v>
      </c>
      <c r="F114" s="40" t="s">
        <v>165</v>
      </c>
      <c r="G114" s="40" t="s">
        <v>13</v>
      </c>
      <c r="H114" s="54" t="s">
        <v>200</v>
      </c>
    </row>
    <row r="115" ht="19.5" customHeight="1" spans="1:8">
      <c r="A115" s="42"/>
      <c r="B115" s="43">
        <v>150</v>
      </c>
      <c r="C115" s="43" t="str">
        <f t="shared" si="6"/>
        <v>0x96</v>
      </c>
      <c r="D115" s="44" t="s">
        <v>201</v>
      </c>
      <c r="E115" s="43" t="s">
        <v>186</v>
      </c>
      <c r="F115" s="43" t="s">
        <v>17</v>
      </c>
      <c r="G115" s="43" t="s">
        <v>13</v>
      </c>
      <c r="H115" s="55" t="s">
        <v>202</v>
      </c>
    </row>
    <row r="116" ht="19.5" customHeight="1" spans="1:8">
      <c r="A116" s="42"/>
      <c r="B116" s="40">
        <v>151</v>
      </c>
      <c r="C116" s="40" t="str">
        <f t="shared" si="6"/>
        <v>0x97</v>
      </c>
      <c r="D116" s="41" t="s">
        <v>203</v>
      </c>
      <c r="E116" s="40" t="s">
        <v>186</v>
      </c>
      <c r="F116" s="40" t="s">
        <v>17</v>
      </c>
      <c r="G116" s="40" t="s">
        <v>13</v>
      </c>
      <c r="H116" s="54" t="s">
        <v>13</v>
      </c>
    </row>
    <row r="117" ht="19.5" customHeight="1" spans="1:8">
      <c r="A117" s="42"/>
      <c r="B117" s="43">
        <v>152</v>
      </c>
      <c r="C117" s="43" t="str">
        <f t="shared" si="6"/>
        <v>0x98</v>
      </c>
      <c r="D117" s="44" t="s">
        <v>204</v>
      </c>
      <c r="E117" s="43" t="s">
        <v>186</v>
      </c>
      <c r="F117" s="43" t="s">
        <v>17</v>
      </c>
      <c r="G117" s="43" t="s">
        <v>13</v>
      </c>
      <c r="H117" s="55" t="s">
        <v>13</v>
      </c>
    </row>
    <row r="118" ht="19.5" customHeight="1" spans="1:8">
      <c r="A118" s="42"/>
      <c r="B118" s="40">
        <v>153</v>
      </c>
      <c r="C118" s="40" t="str">
        <f t="shared" si="6"/>
        <v>0x99</v>
      </c>
      <c r="D118" s="41" t="s">
        <v>205</v>
      </c>
      <c r="E118" s="40" t="s">
        <v>186</v>
      </c>
      <c r="F118" s="40" t="s">
        <v>17</v>
      </c>
      <c r="G118" s="40" t="s">
        <v>13</v>
      </c>
      <c r="H118" s="54" t="s">
        <v>13</v>
      </c>
    </row>
    <row r="119" ht="19.5" customHeight="1" spans="1:8">
      <c r="A119" s="46"/>
      <c r="B119" s="43">
        <v>154</v>
      </c>
      <c r="C119" s="43" t="str">
        <f t="shared" si="6"/>
        <v>0x9A</v>
      </c>
      <c r="D119" s="44" t="s">
        <v>206</v>
      </c>
      <c r="E119" s="43" t="s">
        <v>186</v>
      </c>
      <c r="F119" s="43" t="s">
        <v>17</v>
      </c>
      <c r="G119" s="43" t="s">
        <v>13</v>
      </c>
      <c r="H119" s="55" t="s">
        <v>13</v>
      </c>
    </row>
    <row r="120" ht="19.5" customHeight="1" spans="1:8">
      <c r="A120" s="39" t="s">
        <v>207</v>
      </c>
      <c r="B120" s="40">
        <v>2</v>
      </c>
      <c r="C120" s="43" t="str">
        <f t="shared" si="6"/>
        <v>0x02</v>
      </c>
      <c r="D120" s="41" t="s">
        <v>208</v>
      </c>
      <c r="E120" s="40" t="s">
        <v>13</v>
      </c>
      <c r="F120" s="40" t="s">
        <v>209</v>
      </c>
      <c r="G120" s="40" t="s">
        <v>210</v>
      </c>
      <c r="H120" s="54" t="s">
        <v>211</v>
      </c>
    </row>
    <row r="121" ht="19.5" customHeight="1" spans="1:8">
      <c r="A121" s="42"/>
      <c r="B121" s="43">
        <v>16</v>
      </c>
      <c r="C121" s="43" t="s">
        <v>212</v>
      </c>
      <c r="D121" s="44" t="s">
        <v>213</v>
      </c>
      <c r="E121" s="43" t="s">
        <v>13</v>
      </c>
      <c r="F121" s="43" t="s">
        <v>13</v>
      </c>
      <c r="G121" s="43" t="s">
        <v>13</v>
      </c>
      <c r="H121" s="55" t="s">
        <v>13</v>
      </c>
    </row>
    <row r="122" ht="19.5" customHeight="1" spans="1:8">
      <c r="A122" s="42"/>
      <c r="B122" s="40">
        <v>17</v>
      </c>
      <c r="C122" s="43" t="s">
        <v>214</v>
      </c>
      <c r="D122" s="44" t="s">
        <v>215</v>
      </c>
      <c r="E122" s="40" t="s">
        <v>13</v>
      </c>
      <c r="F122" s="40" t="s">
        <v>13</v>
      </c>
      <c r="G122" s="40" t="s">
        <v>13</v>
      </c>
      <c r="H122" s="54" t="s">
        <v>13</v>
      </c>
    </row>
    <row r="123" ht="19.5" customHeight="1" spans="1:8">
      <c r="A123" s="46"/>
      <c r="B123" s="43">
        <v>88</v>
      </c>
      <c r="C123" s="43" t="str">
        <f>"0x"&amp;DEC2HEX(B123,2)</f>
        <v>0x58</v>
      </c>
      <c r="D123" s="44" t="s">
        <v>216</v>
      </c>
      <c r="E123" s="40" t="s">
        <v>13</v>
      </c>
      <c r="F123" s="43" t="s">
        <v>217</v>
      </c>
      <c r="G123" s="43" t="s">
        <v>13</v>
      </c>
      <c r="H123" s="55" t="s">
        <v>218</v>
      </c>
    </row>
    <row r="124" ht="19.5" customHeight="1" spans="1:8">
      <c r="A124" s="39" t="s">
        <v>75</v>
      </c>
      <c r="B124" s="41" t="s">
        <v>219</v>
      </c>
      <c r="C124" s="70" t="s">
        <v>220</v>
      </c>
      <c r="D124" s="71"/>
      <c r="E124" s="71"/>
      <c r="F124" s="71"/>
      <c r="G124" s="71"/>
      <c r="H124" s="76"/>
    </row>
    <row r="125" ht="19.5" customHeight="1" spans="1:8">
      <c r="A125" s="42"/>
      <c r="B125" s="40" t="s">
        <v>219</v>
      </c>
      <c r="C125" s="40">
        <v>0</v>
      </c>
      <c r="D125" s="41" t="s">
        <v>221</v>
      </c>
      <c r="E125" s="40" t="s">
        <v>13</v>
      </c>
      <c r="F125" s="40" t="s">
        <v>13</v>
      </c>
      <c r="G125" s="40" t="s">
        <v>13</v>
      </c>
      <c r="H125" s="77" t="s">
        <v>222</v>
      </c>
    </row>
    <row r="126" ht="19.5" customHeight="1" spans="1:8">
      <c r="A126" s="42"/>
      <c r="B126" s="43" t="s">
        <v>219</v>
      </c>
      <c r="C126" s="43">
        <v>1</v>
      </c>
      <c r="D126" s="44" t="s">
        <v>223</v>
      </c>
      <c r="E126" s="43" t="s">
        <v>75</v>
      </c>
      <c r="F126" s="43" t="s">
        <v>13</v>
      </c>
      <c r="G126" s="43" t="s">
        <v>13</v>
      </c>
      <c r="H126" s="78" t="s">
        <v>222</v>
      </c>
    </row>
  </sheetData>
  <mergeCells count="9">
    <mergeCell ref="A1:E1"/>
    <mergeCell ref="C106:D106"/>
    <mergeCell ref="F106:H106"/>
    <mergeCell ref="C124:H124"/>
    <mergeCell ref="A3:A60"/>
    <mergeCell ref="A64:A105"/>
    <mergeCell ref="A107:A119"/>
    <mergeCell ref="A120:A123"/>
    <mergeCell ref="A124:A126"/>
  </mergeCells>
  <hyperlinks>
    <hyperlink ref="H1" location="单位换算!A1" display="单位换算"/>
    <hyperlink ref="F1" location="首页!A1" display="返回"/>
  </hyperlinks>
  <pageMargins left="0.7" right="0.7" top="0.75" bottom="0.75" header="0.3" footer="0.3"/>
  <pageSetup paperSize="9" scale="30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zoomScale="145" zoomScaleNormal="145" topLeftCell="A24" workbookViewId="0">
      <selection activeCell="E10" sqref="E10"/>
    </sheetView>
  </sheetViews>
  <sheetFormatPr defaultColWidth="9" defaultRowHeight="16.8"/>
  <cols>
    <col min="1" max="4" width="10.625" customWidth="1"/>
    <col min="5" max="5" width="17.3392857142857" customWidth="1"/>
    <col min="6" max="6" width="16.5267857142857" customWidth="1"/>
    <col min="7" max="8" width="14.3660714285714" customWidth="1"/>
    <col min="9" max="9" width="10.625" customWidth="1"/>
    <col min="10" max="10" width="15.5" customWidth="1"/>
  </cols>
  <sheetData>
    <row r="1" spans="1:3">
      <c r="A1" s="16"/>
      <c r="C1" s="17"/>
    </row>
    <row r="2" spans="1:3">
      <c r="A2" s="16"/>
      <c r="C2" s="17"/>
    </row>
    <row r="3" spans="1:3">
      <c r="A3" s="16"/>
      <c r="C3" s="17"/>
    </row>
    <row r="4" spans="3:3">
      <c r="C4" s="17"/>
    </row>
    <row r="6" ht="14.25" customHeight="1" spans="2:8">
      <c r="B6" s="18" t="s">
        <v>224</v>
      </c>
      <c r="C6" s="18"/>
      <c r="D6" s="18"/>
      <c r="E6" s="26" t="s">
        <v>225</v>
      </c>
      <c r="F6" s="26"/>
      <c r="G6" s="26" t="s">
        <v>226</v>
      </c>
      <c r="H6" s="26"/>
    </row>
    <row r="7" ht="14.25" customHeight="1" spans="2:8">
      <c r="B7" s="18"/>
      <c r="C7" s="18"/>
      <c r="D7" s="18"/>
      <c r="E7" s="22">
        <f>2^16</f>
        <v>65536</v>
      </c>
      <c r="F7" s="22"/>
      <c r="G7" s="22">
        <f>2^18</f>
        <v>262144</v>
      </c>
      <c r="H7" s="22"/>
    </row>
    <row r="8" s="5" customFormat="1" spans="2:8">
      <c r="B8" s="19" t="s">
        <v>227</v>
      </c>
      <c r="C8" s="20" t="s">
        <v>28</v>
      </c>
      <c r="D8" s="4" t="s">
        <v>228</v>
      </c>
      <c r="E8" s="23" t="s">
        <v>229</v>
      </c>
      <c r="F8" s="23" t="s">
        <v>230</v>
      </c>
      <c r="G8" s="23" t="s">
        <v>229</v>
      </c>
      <c r="H8" s="23" t="s">
        <v>230</v>
      </c>
    </row>
    <row r="9" s="5" customFormat="1" ht="14.25" customHeight="1" spans="2:8">
      <c r="B9" s="19"/>
      <c r="C9" s="21">
        <v>580000</v>
      </c>
      <c r="D9" s="4">
        <v>51</v>
      </c>
      <c r="E9" s="27">
        <f>$C$9*360/$E$7/$D9</f>
        <v>62.4712775735294</v>
      </c>
      <c r="F9" s="27">
        <f>$C$9*2*3.14/$E$7/$D9</f>
        <v>1.0897767310049</v>
      </c>
      <c r="G9" s="27">
        <f>$C9*360/$G7</f>
        <v>796.5087890625</v>
      </c>
      <c r="H9" s="27">
        <f>$C9*2*3.14/$G7</f>
        <v>13.8946533203125</v>
      </c>
    </row>
    <row r="10" s="5" customFormat="1" ht="14.25" customHeight="1" spans="2:8">
      <c r="B10" s="19"/>
      <c r="C10" s="22"/>
      <c r="D10" s="4">
        <v>81</v>
      </c>
      <c r="E10" s="27">
        <f t="shared" ref="E10:E13" si="0">$C$9*360/$E$7/$D10</f>
        <v>39.3337673611111</v>
      </c>
      <c r="F10" s="27">
        <f t="shared" ref="F10:F13" si="1">$C$9*2*3.14/$E$7/$D10</f>
        <v>0.686155719521605</v>
      </c>
      <c r="G10" s="27"/>
      <c r="H10" s="27"/>
    </row>
    <row r="11" s="5" customFormat="1" ht="14.25" customHeight="1" spans="2:8">
      <c r="B11" s="19"/>
      <c r="C11" s="22"/>
      <c r="D11" s="4">
        <v>101</v>
      </c>
      <c r="E11" s="27">
        <f t="shared" si="0"/>
        <v>31.5449025371287</v>
      </c>
      <c r="F11" s="27">
        <f t="shared" si="1"/>
        <v>0.550283299814356</v>
      </c>
      <c r="G11" s="27"/>
      <c r="H11" s="27"/>
    </row>
    <row r="12" s="5" customFormat="1" ht="14.25" customHeight="1" spans="2:8">
      <c r="B12" s="19"/>
      <c r="C12" s="22"/>
      <c r="D12" s="4">
        <v>121</v>
      </c>
      <c r="E12" s="27">
        <f t="shared" si="0"/>
        <v>26.3308690599174</v>
      </c>
      <c r="F12" s="27">
        <f t="shared" si="1"/>
        <v>0.459327382489669</v>
      </c>
      <c r="G12" s="27"/>
      <c r="H12" s="27"/>
    </row>
    <row r="13" s="5" customFormat="1" ht="14.25" customHeight="1" spans="2:8">
      <c r="B13" s="19"/>
      <c r="C13" s="22"/>
      <c r="D13" s="4">
        <v>161</v>
      </c>
      <c r="E13" s="27">
        <f t="shared" si="0"/>
        <v>19.7890382375776</v>
      </c>
      <c r="F13" s="27">
        <f t="shared" si="1"/>
        <v>0.34520877814441</v>
      </c>
      <c r="G13" s="27"/>
      <c r="H13" s="27"/>
    </row>
    <row r="14" s="5" customFormat="1" ht="14.1" customHeight="1" spans="2:8">
      <c r="B14" s="19" t="s">
        <v>227</v>
      </c>
      <c r="C14" s="23" t="s">
        <v>229</v>
      </c>
      <c r="D14" s="4" t="s">
        <v>228</v>
      </c>
      <c r="E14" s="26" t="s">
        <v>231</v>
      </c>
      <c r="F14" s="26"/>
      <c r="G14" s="26" t="s">
        <v>232</v>
      </c>
      <c r="H14" s="26"/>
    </row>
    <row r="15" s="5" customFormat="1" ht="14.1" customHeight="1" spans="2:8">
      <c r="B15" s="19"/>
      <c r="C15" s="21">
        <v>360</v>
      </c>
      <c r="D15" s="4">
        <v>51</v>
      </c>
      <c r="E15" s="28">
        <f>($C$15/360)*$D15*$E$7</f>
        <v>3342336</v>
      </c>
      <c r="F15" s="28"/>
      <c r="G15" s="28">
        <f>($C$15/360)*$G$7</f>
        <v>262144</v>
      </c>
      <c r="H15" s="28"/>
    </row>
    <row r="16" s="5" customFormat="1" ht="14.1" customHeight="1" spans="2:8">
      <c r="B16" s="19"/>
      <c r="C16" s="21"/>
      <c r="D16" s="4">
        <v>81</v>
      </c>
      <c r="E16" s="28">
        <f t="shared" ref="E16:E19" si="2">($C$15/360)*$D16*$E$7</f>
        <v>5308416</v>
      </c>
      <c r="F16" s="28"/>
      <c r="G16" s="28"/>
      <c r="H16" s="28"/>
    </row>
    <row r="17" s="5" customFormat="1" ht="14.1" customHeight="1" spans="2:8">
      <c r="B17" s="19"/>
      <c r="C17" s="21"/>
      <c r="D17" s="4">
        <v>101</v>
      </c>
      <c r="E17" s="28">
        <f t="shared" si="2"/>
        <v>6619136</v>
      </c>
      <c r="F17" s="28"/>
      <c r="G17" s="28"/>
      <c r="H17" s="28"/>
    </row>
    <row r="18" s="5" customFormat="1" ht="14.1" customHeight="1" spans="2:8">
      <c r="B18" s="19"/>
      <c r="C18" s="21"/>
      <c r="D18" s="4">
        <v>121</v>
      </c>
      <c r="E18" s="28">
        <f t="shared" si="2"/>
        <v>7929856</v>
      </c>
      <c r="F18" s="28"/>
      <c r="G18" s="28"/>
      <c r="H18" s="28"/>
    </row>
    <row r="19" s="5" customFormat="1" ht="14.1" customHeight="1" spans="2:8">
      <c r="B19" s="19"/>
      <c r="C19" s="21"/>
      <c r="D19" s="4">
        <v>161</v>
      </c>
      <c r="E19" s="28">
        <f t="shared" si="2"/>
        <v>10551296</v>
      </c>
      <c r="F19" s="28"/>
      <c r="G19" s="28"/>
      <c r="H19" s="28"/>
    </row>
    <row r="20" s="5" customFormat="1" ht="18.95" customHeight="1" spans="2:11">
      <c r="B20" s="18" t="s">
        <v>233</v>
      </c>
      <c r="C20" s="18"/>
      <c r="D20" s="18"/>
      <c r="E20" s="18"/>
      <c r="F20" s="18"/>
      <c r="G20" s="18"/>
      <c r="H20" s="18"/>
      <c r="K20" s="6"/>
    </row>
    <row r="21" s="5" customFormat="1" spans="2:8">
      <c r="B21" s="19" t="s">
        <v>227</v>
      </c>
      <c r="C21" s="23" t="s">
        <v>234</v>
      </c>
      <c r="D21" s="23" t="s">
        <v>228</v>
      </c>
      <c r="E21" s="23" t="s">
        <v>235</v>
      </c>
      <c r="F21" s="23" t="s">
        <v>236</v>
      </c>
      <c r="G21" s="23" t="s">
        <v>237</v>
      </c>
      <c r="H21" s="23" t="s">
        <v>238</v>
      </c>
    </row>
    <row r="22" s="5" customFormat="1" ht="14.1" customHeight="1" spans="2:8">
      <c r="B22" s="19"/>
      <c r="C22" s="21">
        <v>2000</v>
      </c>
      <c r="D22" s="4">
        <v>51</v>
      </c>
      <c r="E22" s="29">
        <f>(1/6)*$C$22*360/100</f>
        <v>1200</v>
      </c>
      <c r="F22" s="29">
        <f>$E$22/$D22</f>
        <v>23.5294117647059</v>
      </c>
      <c r="G22" s="29">
        <f>$F22*360/60</f>
        <v>141.176470588235</v>
      </c>
      <c r="H22" s="29">
        <f>$F22*2*3.14/60</f>
        <v>2.46274509803922</v>
      </c>
    </row>
    <row r="23" s="5" customFormat="1" spans="2:8">
      <c r="B23" s="19"/>
      <c r="C23" s="22"/>
      <c r="D23" s="4">
        <v>81</v>
      </c>
      <c r="E23" s="22"/>
      <c r="F23" s="29">
        <f t="shared" ref="F23:F26" si="3">$E$22/$D23</f>
        <v>14.8148148148148</v>
      </c>
      <c r="G23" s="29">
        <f t="shared" ref="G23:G26" si="4">$F23*360/60</f>
        <v>88.8888888888889</v>
      </c>
      <c r="H23" s="29">
        <f t="shared" ref="H23:H26" si="5">$F23*2*3.14/60</f>
        <v>1.55061728395062</v>
      </c>
    </row>
    <row r="24" s="5" customFormat="1" spans="2:8">
      <c r="B24" s="19"/>
      <c r="C24" s="22"/>
      <c r="D24" s="4">
        <v>101</v>
      </c>
      <c r="E24" s="22"/>
      <c r="F24" s="29">
        <f t="shared" si="3"/>
        <v>11.8811881188119</v>
      </c>
      <c r="G24" s="29">
        <f t="shared" si="4"/>
        <v>71.2871287128713</v>
      </c>
      <c r="H24" s="29">
        <f t="shared" si="5"/>
        <v>1.24356435643564</v>
      </c>
    </row>
    <row r="25" s="5" customFormat="1" spans="2:8">
      <c r="B25" s="19"/>
      <c r="C25" s="22"/>
      <c r="D25" s="4">
        <v>121</v>
      </c>
      <c r="E25" s="22"/>
      <c r="F25" s="29">
        <f t="shared" si="3"/>
        <v>9.91735537190083</v>
      </c>
      <c r="G25" s="29">
        <f t="shared" si="4"/>
        <v>59.504132231405</v>
      </c>
      <c r="H25" s="29">
        <f t="shared" si="5"/>
        <v>1.03801652892562</v>
      </c>
    </row>
    <row r="26" s="5" customFormat="1" spans="2:8">
      <c r="B26" s="19"/>
      <c r="C26" s="22"/>
      <c r="D26" s="4">
        <v>161</v>
      </c>
      <c r="E26" s="22"/>
      <c r="F26" s="29">
        <f t="shared" si="3"/>
        <v>7.45341614906832</v>
      </c>
      <c r="G26" s="29">
        <f t="shared" si="4"/>
        <v>44.7204968944099</v>
      </c>
      <c r="H26" s="29">
        <f t="shared" si="5"/>
        <v>0.780124223602484</v>
      </c>
    </row>
    <row r="27" s="5" customFormat="1" spans="2:8">
      <c r="B27" s="19" t="s">
        <v>227</v>
      </c>
      <c r="C27" s="23" t="s">
        <v>236</v>
      </c>
      <c r="D27" s="23" t="s">
        <v>228</v>
      </c>
      <c r="E27" s="23" t="s">
        <v>239</v>
      </c>
      <c r="F27" s="4"/>
      <c r="G27" s="4"/>
      <c r="H27" s="4"/>
    </row>
    <row r="28" ht="14.1" customHeight="1" spans="2:8">
      <c r="B28" s="19"/>
      <c r="C28" s="21">
        <v>30</v>
      </c>
      <c r="D28" s="4">
        <v>51</v>
      </c>
      <c r="E28" s="28">
        <f>6*$C$28*$D28*100/360</f>
        <v>2550</v>
      </c>
      <c r="F28" s="4"/>
      <c r="G28" s="4"/>
      <c r="H28" s="4"/>
    </row>
    <row r="29" ht="14.1" customHeight="1" spans="2:8">
      <c r="B29" s="19"/>
      <c r="C29" s="21"/>
      <c r="D29" s="4">
        <v>81</v>
      </c>
      <c r="E29" s="28">
        <f t="shared" ref="E29:E32" si="6">6*$C$28*$D29*100/360</f>
        <v>4050</v>
      </c>
      <c r="F29" s="4"/>
      <c r="G29" s="4"/>
      <c r="H29" s="4"/>
    </row>
    <row r="30" spans="2:8">
      <c r="B30" s="19"/>
      <c r="C30" s="21"/>
      <c r="D30" s="4">
        <v>101</v>
      </c>
      <c r="E30" s="28">
        <f t="shared" si="6"/>
        <v>5050</v>
      </c>
      <c r="F30" s="4"/>
      <c r="G30" s="4"/>
      <c r="H30" s="4"/>
    </row>
    <row r="31" ht="14.1" customHeight="1" spans="2:8">
      <c r="B31" s="19"/>
      <c r="C31" s="21"/>
      <c r="D31" s="4">
        <v>121</v>
      </c>
      <c r="E31" s="28">
        <f t="shared" si="6"/>
        <v>6050</v>
      </c>
      <c r="F31" s="4"/>
      <c r="G31" s="4"/>
      <c r="H31" s="4"/>
    </row>
    <row r="32" spans="2:8">
      <c r="B32" s="19"/>
      <c r="C32" s="21"/>
      <c r="D32" s="4">
        <v>161</v>
      </c>
      <c r="E32" s="28">
        <f t="shared" si="6"/>
        <v>8050</v>
      </c>
      <c r="F32" s="4"/>
      <c r="G32" s="4"/>
      <c r="H32" s="4"/>
    </row>
    <row r="35" spans="3:9">
      <c r="C35" s="5" t="s">
        <v>240</v>
      </c>
      <c r="D35" s="5" t="s">
        <v>228</v>
      </c>
      <c r="E35" s="5" t="s">
        <v>241</v>
      </c>
      <c r="F35" s="30"/>
      <c r="G35" s="5"/>
      <c r="I35" s="5"/>
    </row>
    <row r="36" spans="3:9">
      <c r="C36" s="24">
        <v>360</v>
      </c>
      <c r="D36" s="5">
        <v>1</v>
      </c>
      <c r="E36" s="5">
        <v>262144</v>
      </c>
      <c r="F36" s="5" t="str">
        <f>IF(LEN(RIGHT(DEC2HEX((C36/360)*D36*E36),8))&lt;8,REPT(0,8-LEN(RIGHT(DEC2HEX((C36/360)*D36*E36),8)))&amp;RIGHT(DEC2HEX((C36/360)*D36*E36),8),RIGHT(DEC2HEX((C36/360)*D36*E36),8))</f>
        <v>00040000</v>
      </c>
      <c r="G36" s="5"/>
      <c r="I36" s="5"/>
    </row>
    <row r="37" spans="3:9">
      <c r="C37" s="5"/>
      <c r="D37" s="5"/>
      <c r="E37" s="5"/>
      <c r="F37" s="5"/>
      <c r="G37" s="5"/>
      <c r="I37" s="5"/>
    </row>
    <row r="38" spans="3:9">
      <c r="C38" s="24" t="s">
        <v>242</v>
      </c>
      <c r="D38" s="5"/>
      <c r="E38" s="5"/>
      <c r="F38" s="5"/>
      <c r="G38" s="5"/>
      <c r="I38" s="5"/>
    </row>
    <row r="39" spans="3:9">
      <c r="C39" s="24" t="str">
        <f>RIGHT(F36,2)</f>
        <v>00</v>
      </c>
      <c r="D39" s="5"/>
      <c r="E39" s="5"/>
      <c r="F39" s="5"/>
      <c r="G39" s="5"/>
      <c r="I39" s="5"/>
    </row>
    <row r="40" spans="3:9">
      <c r="C40" s="24" t="str">
        <f>MID(F36,5,2)</f>
        <v>00</v>
      </c>
      <c r="D40" s="5"/>
      <c r="E40" s="5"/>
      <c r="F40" s="5"/>
      <c r="G40" s="5"/>
      <c r="I40" s="5"/>
    </row>
    <row r="41" spans="3:9">
      <c r="C41" s="24" t="str">
        <f>MID(F36,3,2)</f>
        <v>04</v>
      </c>
      <c r="D41" s="5"/>
      <c r="E41" s="5"/>
      <c r="F41" s="5"/>
      <c r="G41" s="5"/>
      <c r="I41" s="5"/>
    </row>
    <row r="42" spans="3:9">
      <c r="C42" s="24" t="str">
        <f>LEFT(F36,2)</f>
        <v>00</v>
      </c>
      <c r="D42" s="5"/>
      <c r="E42" s="5"/>
      <c r="F42" s="5"/>
      <c r="G42" s="5"/>
      <c r="I42" s="5"/>
    </row>
    <row r="43" spans="3:9">
      <c r="C43" s="5"/>
      <c r="D43" s="5"/>
      <c r="E43" s="5"/>
      <c r="F43" s="5"/>
      <c r="G43" s="5"/>
      <c r="I43" s="5"/>
    </row>
    <row r="44" spans="3:9">
      <c r="C44" s="25" t="s">
        <v>243</v>
      </c>
      <c r="D44" s="25"/>
      <c r="E44" s="25"/>
      <c r="F44" s="25"/>
      <c r="G44" s="25"/>
      <c r="I44" s="25"/>
    </row>
    <row r="45" spans="3:9">
      <c r="C45" s="25"/>
      <c r="D45" s="25"/>
      <c r="E45" s="25"/>
      <c r="F45" s="25"/>
      <c r="G45" s="25"/>
      <c r="I45" s="25"/>
    </row>
    <row r="47" spans="4:4">
      <c r="D47" t="s">
        <v>244</v>
      </c>
    </row>
  </sheetData>
  <mergeCells count="28">
    <mergeCell ref="E6:F6"/>
    <mergeCell ref="G6:H6"/>
    <mergeCell ref="E7:F7"/>
    <mergeCell ref="G7:H7"/>
    <mergeCell ref="E14:F14"/>
    <mergeCell ref="G14:H14"/>
    <mergeCell ref="E15:F15"/>
    <mergeCell ref="E16:F16"/>
    <mergeCell ref="E17:F17"/>
    <mergeCell ref="E18:F18"/>
    <mergeCell ref="E19:F19"/>
    <mergeCell ref="B20:H20"/>
    <mergeCell ref="B8:B13"/>
    <mergeCell ref="B14:B19"/>
    <mergeCell ref="B21:B26"/>
    <mergeCell ref="B27:B32"/>
    <mergeCell ref="C9:C13"/>
    <mergeCell ref="C15:C19"/>
    <mergeCell ref="C22:C26"/>
    <mergeCell ref="C28:C32"/>
    <mergeCell ref="E22:E26"/>
    <mergeCell ref="G9:G13"/>
    <mergeCell ref="H9:H13"/>
    <mergeCell ref="I44:I45"/>
    <mergeCell ref="F27:H32"/>
    <mergeCell ref="G15:H19"/>
    <mergeCell ref="C44:G45"/>
    <mergeCell ref="B6:D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opLeftCell="A2" workbookViewId="0">
      <selection activeCell="A2" sqref="A2"/>
    </sheetView>
  </sheetViews>
  <sheetFormatPr defaultColWidth="9" defaultRowHeight="16.8" outlineLevelRow="2" outlineLevelCol="1"/>
  <cols>
    <col min="1" max="1" width="19.25" customWidth="1"/>
    <col min="2" max="2" width="127.5" customWidth="1"/>
  </cols>
  <sheetData>
    <row r="1" ht="209.25" customHeight="1" spans="1:2">
      <c r="A1" s="12" t="s">
        <v>245</v>
      </c>
      <c r="B1" s="13" t="s">
        <v>246</v>
      </c>
    </row>
    <row r="2" ht="228" customHeight="1" spans="1:2">
      <c r="A2" s="2" t="s">
        <v>247</v>
      </c>
      <c r="B2" s="14" t="s">
        <v>248</v>
      </c>
    </row>
    <row r="3" ht="182.1" customHeight="1" spans="1:2">
      <c r="A3" t="s">
        <v>249</v>
      </c>
      <c r="B3" s="15" t="s">
        <v>250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zoomScale="115" zoomScaleNormal="115" workbookViewId="0">
      <selection activeCell="F28" sqref="F28"/>
    </sheetView>
  </sheetViews>
  <sheetFormatPr defaultColWidth="9" defaultRowHeight="16.8" outlineLevelCol="5"/>
  <cols>
    <col min="2" max="2" width="9" style="7" customWidth="1"/>
    <col min="3" max="3" width="14.375" style="7" customWidth="1"/>
    <col min="4" max="4" width="18" style="7" customWidth="1"/>
    <col min="5" max="5" width="22.625" style="8" customWidth="1"/>
  </cols>
  <sheetData>
    <row r="2" spans="1:6">
      <c r="A2" t="s">
        <v>84</v>
      </c>
      <c r="B2" s="7" t="s">
        <v>251</v>
      </c>
      <c r="C2" s="9" t="s">
        <v>252</v>
      </c>
      <c r="D2" s="9" t="s">
        <v>253</v>
      </c>
      <c r="E2" s="11" t="s">
        <v>254</v>
      </c>
      <c r="F2">
        <v>0.8</v>
      </c>
    </row>
    <row r="3" spans="1:6">
      <c r="A3" t="s">
        <v>255</v>
      </c>
      <c r="B3" s="7">
        <v>40</v>
      </c>
      <c r="C3" s="7">
        <v>5</v>
      </c>
      <c r="D3" s="7">
        <v>15000</v>
      </c>
      <c r="E3" s="11">
        <f t="shared" ref="E3:E16" si="0">D3/(19.859394*B3*C3/1000)</f>
        <v>3776.55028144363</v>
      </c>
      <c r="F3">
        <f>E3*F2</f>
        <v>3021.24022515491</v>
      </c>
    </row>
    <row r="4" spans="1:6">
      <c r="A4" t="s">
        <v>256</v>
      </c>
      <c r="B4" s="7">
        <v>10</v>
      </c>
      <c r="C4" s="7">
        <v>20</v>
      </c>
      <c r="D4" s="7">
        <v>19000</v>
      </c>
      <c r="E4" s="11">
        <f t="shared" si="0"/>
        <v>4783.63035649527</v>
      </c>
      <c r="F4">
        <f>E4*F2</f>
        <v>3826.90428519621</v>
      </c>
    </row>
    <row r="5" spans="1:6">
      <c r="A5" t="s">
        <v>257</v>
      </c>
      <c r="B5" s="7">
        <v>10</v>
      </c>
      <c r="C5" s="7">
        <v>10</v>
      </c>
      <c r="D5" s="7">
        <v>19000</v>
      </c>
      <c r="E5" s="11">
        <f t="shared" si="0"/>
        <v>9567.26071299054</v>
      </c>
      <c r="F5">
        <f>E5*F2</f>
        <v>7653.80857039243</v>
      </c>
    </row>
    <row r="6" spans="1:6">
      <c r="A6" t="s">
        <v>258</v>
      </c>
      <c r="B6" s="7">
        <v>10</v>
      </c>
      <c r="C6" s="7">
        <v>10</v>
      </c>
      <c r="D6" s="7">
        <v>21000</v>
      </c>
      <c r="E6" s="11">
        <f t="shared" si="0"/>
        <v>10574.3407880422</v>
      </c>
      <c r="F6">
        <f>E6*F2</f>
        <v>8459.47263043374</v>
      </c>
    </row>
    <row r="7" spans="1:6">
      <c r="A7" t="s">
        <v>259</v>
      </c>
      <c r="B7" s="7">
        <v>10</v>
      </c>
      <c r="C7" s="7">
        <v>5</v>
      </c>
      <c r="D7" s="7">
        <v>20000</v>
      </c>
      <c r="E7" s="11">
        <f t="shared" si="0"/>
        <v>20141.6015010327</v>
      </c>
      <c r="F7">
        <f>E7*F2</f>
        <v>16113.2812008262</v>
      </c>
    </row>
    <row r="8" spans="1:6">
      <c r="A8" t="s">
        <v>260</v>
      </c>
      <c r="B8" s="7">
        <v>10</v>
      </c>
      <c r="C8" s="7">
        <v>7</v>
      </c>
      <c r="D8" s="7">
        <v>29000</v>
      </c>
      <c r="E8" s="11">
        <f t="shared" si="0"/>
        <v>20860.9444117839</v>
      </c>
      <c r="F8">
        <f>E8*F2</f>
        <v>16688.7555294271</v>
      </c>
    </row>
    <row r="9" spans="1:6">
      <c r="A9" t="s">
        <v>261</v>
      </c>
      <c r="B9" s="7">
        <v>10</v>
      </c>
      <c r="C9" s="7">
        <v>7</v>
      </c>
      <c r="D9" s="7">
        <v>25000</v>
      </c>
      <c r="E9" s="11">
        <f t="shared" si="0"/>
        <v>17983.5727687792</v>
      </c>
      <c r="F9">
        <f>E9*F2</f>
        <v>14386.8582150234</v>
      </c>
    </row>
    <row r="10" spans="1:6">
      <c r="A10" t="s">
        <v>262</v>
      </c>
      <c r="B10" s="7">
        <v>10</v>
      </c>
      <c r="C10" s="7">
        <v>7</v>
      </c>
      <c r="D10" s="7">
        <v>31000</v>
      </c>
      <c r="E10" s="11">
        <f t="shared" si="0"/>
        <v>22299.6302332862</v>
      </c>
      <c r="F10">
        <f>E10*F2</f>
        <v>17839.704186629</v>
      </c>
    </row>
    <row r="11" spans="1:5">
      <c r="A11" t="s">
        <v>263</v>
      </c>
      <c r="B11" s="7">
        <v>1</v>
      </c>
      <c r="C11" s="7">
        <v>1</v>
      </c>
      <c r="D11" s="7">
        <v>0</v>
      </c>
      <c r="E11" s="11">
        <f t="shared" si="0"/>
        <v>0</v>
      </c>
    </row>
    <row r="12" spans="1:6">
      <c r="A12" s="10" t="s">
        <v>264</v>
      </c>
      <c r="B12" s="7">
        <v>10</v>
      </c>
      <c r="C12" s="7">
        <v>5</v>
      </c>
      <c r="D12" s="7">
        <v>32000</v>
      </c>
      <c r="E12" s="11">
        <f t="shared" si="0"/>
        <v>32226.5624016523</v>
      </c>
      <c r="F12">
        <f>E12*F2</f>
        <v>25781.2499213219</v>
      </c>
    </row>
    <row r="13" spans="1:5">
      <c r="A13" t="s">
        <v>265</v>
      </c>
      <c r="B13" s="7">
        <v>1</v>
      </c>
      <c r="C13" s="7">
        <v>1</v>
      </c>
      <c r="D13" s="7">
        <v>0</v>
      </c>
      <c r="E13" s="11">
        <f t="shared" si="0"/>
        <v>0</v>
      </c>
    </row>
    <row r="14" spans="1:5">
      <c r="A14" t="s">
        <v>266</v>
      </c>
      <c r="B14" s="7">
        <v>1</v>
      </c>
      <c r="C14" s="7">
        <v>1</v>
      </c>
      <c r="D14" s="7">
        <v>0</v>
      </c>
      <c r="E14" s="11">
        <f t="shared" si="0"/>
        <v>0</v>
      </c>
    </row>
    <row r="15" spans="1:5">
      <c r="A15" s="10" t="s">
        <v>267</v>
      </c>
      <c r="B15" s="7">
        <v>20</v>
      </c>
      <c r="C15" s="7">
        <v>2</v>
      </c>
      <c r="D15" s="7">
        <v>30000</v>
      </c>
      <c r="E15" s="11">
        <f t="shared" si="0"/>
        <v>37765.5028144363</v>
      </c>
    </row>
    <row r="16" spans="1:5">
      <c r="A16" s="10" t="s">
        <v>268</v>
      </c>
      <c r="B16" s="7">
        <v>1</v>
      </c>
      <c r="C16" s="7">
        <v>1</v>
      </c>
      <c r="D16" s="7">
        <v>0</v>
      </c>
      <c r="E16" s="11">
        <f t="shared" si="0"/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3"/>
  <sheetViews>
    <sheetView workbookViewId="0">
      <selection activeCell="C5" sqref="C5"/>
    </sheetView>
  </sheetViews>
  <sheetFormatPr defaultColWidth="9" defaultRowHeight="16.8" outlineLevelCol="7"/>
  <cols>
    <col min="1" max="1" width="20.5" style="5" customWidth="1"/>
    <col min="2" max="2" width="6.875" style="5" customWidth="1"/>
    <col min="3" max="3" width="16.5" style="5" customWidth="1"/>
    <col min="4" max="4" width="17.625" style="5" customWidth="1"/>
    <col min="5" max="5" width="13.125" style="5" customWidth="1"/>
    <col min="6" max="16384" width="9" style="5"/>
  </cols>
  <sheetData>
    <row r="3" s="5" customFormat="1" spans="3:5">
      <c r="C3" s="5" t="s">
        <v>269</v>
      </c>
      <c r="D3" s="5" t="s">
        <v>270</v>
      </c>
      <c r="E3" s="5" t="s">
        <v>271</v>
      </c>
    </row>
    <row r="4" s="5" customFormat="1" spans="2:5">
      <c r="B4" s="5" t="s">
        <v>227</v>
      </c>
      <c r="C4" s="5">
        <v>360</v>
      </c>
      <c r="D4" s="5">
        <f>C4*60</f>
        <v>21600</v>
      </c>
      <c r="E4" s="5">
        <f>60*D4</f>
        <v>1296000</v>
      </c>
    </row>
    <row r="5" s="5" customFormat="1" spans="3:5">
      <c r="C5" s="5" t="s">
        <v>271</v>
      </c>
      <c r="D5" s="5" t="s">
        <v>270</v>
      </c>
      <c r="E5" s="5" t="s">
        <v>269</v>
      </c>
    </row>
    <row r="6" s="5" customFormat="1" spans="2:5">
      <c r="B6" s="5" t="s">
        <v>227</v>
      </c>
      <c r="C6" s="5">
        <v>1296000</v>
      </c>
      <c r="D6" s="5">
        <f>C6/60</f>
        <v>21600</v>
      </c>
      <c r="E6" s="5">
        <f>D6/60</f>
        <v>360</v>
      </c>
    </row>
    <row r="8" s="5" customFormat="1" spans="3:8">
      <c r="C8" s="6" t="s">
        <v>272</v>
      </c>
      <c r="D8" s="6" t="s">
        <v>228</v>
      </c>
      <c r="E8" s="6" t="s">
        <v>273</v>
      </c>
      <c r="G8" s="5">
        <f>E9/E4</f>
        <v>5.10735802469136</v>
      </c>
      <c r="H8" s="6" t="s">
        <v>274</v>
      </c>
    </row>
    <row r="9" s="5" customFormat="1" spans="3:5">
      <c r="C9" s="6">
        <v>65536</v>
      </c>
      <c r="D9" s="5">
        <v>101</v>
      </c>
      <c r="E9" s="5">
        <f>C9*D9</f>
        <v>6619136</v>
      </c>
    </row>
    <row r="11" s="5" customFormat="1" spans="3:5">
      <c r="C11" s="6" t="s">
        <v>275</v>
      </c>
      <c r="D11" s="6" t="s">
        <v>276</v>
      </c>
      <c r="E11" s="6" t="s">
        <v>277</v>
      </c>
    </row>
    <row r="12" s="5" customFormat="1" spans="3:5">
      <c r="C12" s="5">
        <v>12.7</v>
      </c>
      <c r="D12" s="5">
        <v>150</v>
      </c>
      <c r="E12" s="5">
        <f>C12*E4/D12/1000/2/3.1415926</f>
        <v>17.463753893487</v>
      </c>
    </row>
    <row r="13" s="5" customFormat="1" spans="4:4">
      <c r="D13" s="6"/>
    </row>
  </sheetData>
  <mergeCells count="2">
    <mergeCell ref="G8:G9"/>
    <mergeCell ref="H8:H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H23" sqref="H23"/>
    </sheetView>
  </sheetViews>
  <sheetFormatPr defaultColWidth="9" defaultRowHeight="16.8"/>
  <cols>
    <col min="2" max="2" width="16.875" customWidth="1"/>
    <col min="3" max="3" width="12.75" customWidth="1"/>
    <col min="7" max="7" width="19.125" customWidth="1"/>
  </cols>
  <sheetData>
    <row r="1" customFormat="1" spans="2:3">
      <c r="B1" s="1" t="s">
        <v>278</v>
      </c>
      <c r="C1" s="1">
        <v>112</v>
      </c>
    </row>
    <row r="2" customFormat="1" spans="1:3">
      <c r="A2" s="2"/>
      <c r="B2" s="3" t="s">
        <v>45</v>
      </c>
      <c r="C2" s="1">
        <v>16</v>
      </c>
    </row>
    <row r="3" customFormat="1" spans="2:3">
      <c r="B3" s="1" t="s">
        <v>279</v>
      </c>
      <c r="C3" s="1">
        <v>3</v>
      </c>
    </row>
    <row r="4" customFormat="1" spans="2:3">
      <c r="B4" s="1" t="s">
        <v>280</v>
      </c>
      <c r="C4" s="1">
        <v>8</v>
      </c>
    </row>
    <row r="5" customFormat="1" spans="2:3">
      <c r="B5" s="3" t="s">
        <v>281</v>
      </c>
      <c r="C5" s="1">
        <v>1</v>
      </c>
    </row>
    <row r="6" customFormat="1"/>
    <row r="7" customFormat="1" spans="2:9">
      <c r="B7" s="4" t="s">
        <v>282</v>
      </c>
      <c r="C7" s="4">
        <v>3</v>
      </c>
      <c r="D7" s="5"/>
      <c r="E7" s="5"/>
      <c r="H7" s="5"/>
      <c r="I7" s="5"/>
    </row>
    <row r="8" customFormat="1" spans="2:9">
      <c r="B8" s="4" t="s">
        <v>283</v>
      </c>
      <c r="C8" s="4">
        <f>(C11*C11/C7)-C7</f>
        <v>1.831083</v>
      </c>
      <c r="D8" s="5"/>
      <c r="E8" s="5"/>
      <c r="F8" s="5"/>
      <c r="G8" s="5"/>
      <c r="H8" s="5"/>
      <c r="I8" s="5"/>
    </row>
    <row r="9" customFormat="1" spans="2:9">
      <c r="B9" s="4" t="s">
        <v>284</v>
      </c>
      <c r="C9" s="4">
        <f>C7</f>
        <v>3</v>
      </c>
      <c r="D9" s="5"/>
      <c r="E9" s="5"/>
      <c r="F9" s="5"/>
      <c r="G9" s="5"/>
      <c r="H9" s="5"/>
      <c r="I9" s="5"/>
    </row>
    <row r="10" customFormat="1" spans="2:9">
      <c r="B10" s="4" t="s">
        <v>285</v>
      </c>
      <c r="C10" s="4">
        <v>0</v>
      </c>
      <c r="D10" s="5"/>
      <c r="E10" s="5"/>
      <c r="F10" s="5"/>
      <c r="G10" s="5"/>
      <c r="H10" s="5"/>
      <c r="I10" s="5"/>
    </row>
    <row r="11" customFormat="1" spans="2:9">
      <c r="B11" s="4" t="s">
        <v>286</v>
      </c>
      <c r="C11" s="4">
        <v>3.807</v>
      </c>
      <c r="D11" s="5"/>
      <c r="E11" s="5"/>
      <c r="F11" s="5"/>
      <c r="G11" s="5"/>
      <c r="H11" s="5"/>
      <c r="I11" s="5"/>
    </row>
    <row r="12" customFormat="1" spans="2:9">
      <c r="B12" s="4" t="s">
        <v>287</v>
      </c>
      <c r="C12" s="4">
        <v>0</v>
      </c>
      <c r="D12" s="5"/>
      <c r="E12" s="5"/>
      <c r="F12" s="5"/>
      <c r="G12" s="5"/>
      <c r="H12" s="5"/>
      <c r="I12" s="5"/>
    </row>
    <row r="13" customFormat="1" spans="2:9">
      <c r="B13" s="4" t="s">
        <v>288</v>
      </c>
      <c r="C13" s="4">
        <f>C11</f>
        <v>3.807</v>
      </c>
      <c r="D13" s="5"/>
      <c r="E13" s="5"/>
      <c r="F13" s="5"/>
      <c r="G13" s="5"/>
      <c r="H13" s="5"/>
      <c r="I13" s="5"/>
    </row>
    <row r="14" customFormat="1" spans="2:9">
      <c r="B14" s="5"/>
      <c r="C14" s="5"/>
      <c r="D14" s="5"/>
      <c r="E14" s="5"/>
      <c r="F14" s="5"/>
      <c r="G14" s="5"/>
      <c r="H14" s="5"/>
      <c r="I14" s="5"/>
    </row>
    <row r="15" customFormat="1" spans="2:9">
      <c r="B15" s="5"/>
      <c r="C15" s="5"/>
      <c r="D15" s="5"/>
      <c r="E15" s="5"/>
      <c r="F15" s="5"/>
      <c r="G15" s="5"/>
      <c r="H15" s="5"/>
      <c r="I15" s="5"/>
    </row>
    <row r="16" customFormat="1" spans="2:9">
      <c r="B16" s="6" t="s">
        <v>289</v>
      </c>
      <c r="C16" s="5">
        <f>C17+C18</f>
        <v>111.924716872333</v>
      </c>
      <c r="D16" s="5"/>
      <c r="E16" s="5"/>
      <c r="F16" s="5"/>
      <c r="G16" s="5"/>
      <c r="H16" s="5"/>
      <c r="I16" s="5"/>
    </row>
    <row r="17" customFormat="1" spans="2:9">
      <c r="B17" s="6" t="s">
        <v>290</v>
      </c>
      <c r="C17" s="5">
        <f>((2*C7+C8)*(C7+C8)*(C7*C5))/2</f>
        <v>56.7489179293335</v>
      </c>
      <c r="D17" s="5"/>
      <c r="E17" s="5"/>
      <c r="F17" s="5"/>
      <c r="G17" s="5"/>
      <c r="H17" s="5"/>
      <c r="I17" s="5"/>
    </row>
    <row r="18" customFormat="1" spans="2:9">
      <c r="B18" s="6" t="s">
        <v>291</v>
      </c>
      <c r="C18" s="5">
        <f>((2*C11+C12)*(C11+C12)*(C11*C5))/2</f>
        <v>55.175798943</v>
      </c>
      <c r="D18" s="5"/>
      <c r="E18" s="5"/>
      <c r="F18" s="5"/>
      <c r="G18" s="5"/>
      <c r="H18" s="5"/>
      <c r="I18" s="5"/>
    </row>
    <row r="19" customFormat="1" spans="2:9">
      <c r="B19" s="6" t="s">
        <v>292</v>
      </c>
      <c r="C19" s="5">
        <f>C5*C11*C11</f>
        <v>14.493249</v>
      </c>
      <c r="D19" s="5"/>
      <c r="E19" s="5"/>
      <c r="F19" s="5"/>
      <c r="G19" s="5"/>
      <c r="H19" s="5"/>
      <c r="I19" s="5"/>
    </row>
    <row r="20" customFormat="1" spans="2:9">
      <c r="B20" s="2" t="s">
        <v>293</v>
      </c>
      <c r="C20">
        <f>C3*(C7+C8)</f>
        <v>14.493249</v>
      </c>
      <c r="D20" s="5"/>
      <c r="E20" s="5"/>
      <c r="F20" s="5"/>
      <c r="G20" s="5"/>
      <c r="H20" s="5"/>
      <c r="I20" s="5"/>
    </row>
    <row r="21" customFormat="1" spans="2:9">
      <c r="B21" s="6"/>
      <c r="C21" s="5"/>
      <c r="D21" s="5"/>
      <c r="E21" s="5"/>
      <c r="F21" s="5"/>
      <c r="G21" s="5"/>
      <c r="H21" s="5"/>
      <c r="I21" s="5"/>
    </row>
    <row r="22" customFormat="1" spans="2:9">
      <c r="B22" s="6"/>
      <c r="C22" s="5"/>
      <c r="D22" s="5"/>
      <c r="E22" s="5"/>
      <c r="F22" s="5"/>
      <c r="G22" s="5"/>
      <c r="H22" s="5"/>
      <c r="I22" s="5"/>
    </row>
    <row r="23" customFormat="1" spans="2:9">
      <c r="B23" s="6" t="s">
        <v>294</v>
      </c>
      <c r="C23" s="5">
        <f>C11*C11*C11*C11*C5*C5/(2*C3)+C11*C11*C11*C5+C11*C11*C3/2</f>
        <v>111.924716872333</v>
      </c>
      <c r="D23" s="5"/>
      <c r="E23" s="5"/>
      <c r="F23" s="5"/>
      <c r="G23" s="5"/>
      <c r="H23" s="5"/>
      <c r="I23" s="5"/>
    </row>
    <row r="24" spans="1:9">
      <c r="A24" s="2"/>
      <c r="B24" s="6" t="s">
        <v>295</v>
      </c>
      <c r="C24" s="6">
        <f>C5*C11*C11*(C7+C5*C11*C11/C3)/2</f>
        <v>56.7489179293335</v>
      </c>
      <c r="D24" s="6"/>
      <c r="E24" s="6"/>
      <c r="F24" s="6"/>
      <c r="G24" s="5"/>
      <c r="H24" s="5"/>
      <c r="I24" s="5"/>
    </row>
    <row r="25" customFormat="1" spans="2:9">
      <c r="B25" s="5"/>
      <c r="C25" s="6"/>
      <c r="D25" s="5"/>
      <c r="E25" s="5"/>
      <c r="F25" s="5"/>
      <c r="G25" s="5"/>
      <c r="H25" s="5"/>
      <c r="I25" s="5"/>
    </row>
    <row r="26" customFormat="1" spans="4:9">
      <c r="D26" s="5"/>
      <c r="E26" s="5"/>
      <c r="F26" s="5"/>
      <c r="G26" s="5"/>
      <c r="H26" s="5"/>
      <c r="I2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canbus</vt:lpstr>
      <vt:lpstr>单位换算</vt:lpstr>
      <vt:lpstr>人型机器人</vt:lpstr>
      <vt:lpstr>电流计算</vt:lpstr>
      <vt:lpstr>角度换算</vt:lpstr>
      <vt:lpstr>S曲线计算器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kieron kung</dc:creator>
  <cp:lastModifiedBy>龙</cp:lastModifiedBy>
  <dcterms:created xsi:type="dcterms:W3CDTF">2015-06-07T18:19:00Z</dcterms:created>
  <dcterms:modified xsi:type="dcterms:W3CDTF">2025-10-09T14:49:20Z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02A71D7D10E44FD7A90E3ECBA71921DC_12</vt:lpwstr>
  </property>
</Properties>
</file>